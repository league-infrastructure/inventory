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j/proj/league-projects/infrastructure/inventory/data/"/>
    </mc:Choice>
  </mc:AlternateContent>
  <xr:revisionPtr revIDLastSave="0" documentId="13_ncr:1_{2843B38E-C8E6-9545-ABC1-10FF279E4634}" xr6:coauthVersionLast="47" xr6:coauthVersionMax="47" xr10:uidLastSave="{00000000-0000-0000-0000-000000000000}"/>
  <bookViews>
    <workbookView xWindow="13440" yWindow="4120" windowWidth="37760" windowHeight="24680" activeTab="1" xr2:uid="{00000000-000D-0000-FFFF-FFFF00000000}"/>
  </bookViews>
  <sheets>
    <sheet name="LIST OF ASSETS" sheetId="1" r:id="rId1"/>
    <sheet name="Bags" sheetId="2" r:id="rId2"/>
    <sheet name="Names" sheetId="3" r:id="rId3"/>
    <sheet name="host_db" sheetId="4" r:id="rId4"/>
    <sheet name="Loaned" sheetId="5" r:id="rId5"/>
    <sheet name="Macs" sheetId="6" r:id="rId6"/>
    <sheet name="MacBooks" sheetId="7" r:id="rId7"/>
    <sheet name="Scrapp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G27" i="6"/>
  <c r="G26" i="6"/>
  <c r="G25" i="6"/>
  <c r="G24" i="6"/>
  <c r="G23" i="6"/>
  <c r="G22" i="6"/>
  <c r="G21" i="6"/>
  <c r="G20" i="6"/>
  <c r="G19" i="6"/>
  <c r="G18" i="6"/>
  <c r="G17" i="6"/>
  <c r="G16" i="6"/>
  <c r="F63" i="4"/>
  <c r="E63" i="4"/>
  <c r="D63" i="4"/>
  <c r="C63" i="4"/>
  <c r="B63" i="4"/>
  <c r="A63" i="4"/>
  <c r="F62" i="4"/>
  <c r="E62" i="4"/>
  <c r="D62" i="4"/>
  <c r="C62" i="4"/>
  <c r="A62" i="4"/>
  <c r="F61" i="4"/>
  <c r="E61" i="4"/>
  <c r="D61" i="4"/>
  <c r="C61" i="4"/>
  <c r="A61" i="4"/>
  <c r="F60" i="4"/>
  <c r="E60" i="4"/>
  <c r="D60" i="4"/>
  <c r="C60" i="4"/>
  <c r="A60" i="4"/>
  <c r="F59" i="4"/>
  <c r="E59" i="4"/>
  <c r="D59" i="4"/>
  <c r="C59" i="4"/>
  <c r="A59" i="4"/>
  <c r="F58" i="4"/>
  <c r="E58" i="4"/>
  <c r="D58" i="4"/>
  <c r="C58" i="4"/>
  <c r="A58" i="4"/>
  <c r="F57" i="4"/>
  <c r="E57" i="4"/>
  <c r="D57" i="4"/>
  <c r="C57" i="4"/>
  <c r="A57" i="4"/>
  <c r="F56" i="4"/>
  <c r="E56" i="4"/>
  <c r="D56" i="4"/>
  <c r="C56" i="4"/>
  <c r="B56" i="4"/>
  <c r="A56" i="4"/>
  <c r="F55" i="4"/>
  <c r="E55" i="4"/>
  <c r="D55" i="4"/>
  <c r="C55" i="4"/>
  <c r="B55" i="4"/>
  <c r="A55" i="4"/>
  <c r="F54" i="4"/>
  <c r="E54" i="4"/>
  <c r="D54" i="4"/>
  <c r="C54" i="4"/>
  <c r="B54" i="4"/>
  <c r="A54" i="4"/>
  <c r="F53" i="4"/>
  <c r="E53" i="4"/>
  <c r="D53" i="4"/>
  <c r="C53" i="4"/>
  <c r="B53" i="4"/>
  <c r="A53" i="4"/>
  <c r="F52" i="4"/>
  <c r="E52" i="4"/>
  <c r="D52" i="4"/>
  <c r="C52" i="4"/>
  <c r="B52" i="4"/>
  <c r="A52" i="4"/>
  <c r="F51" i="4"/>
  <c r="E51" i="4"/>
  <c r="D51" i="4"/>
  <c r="C51" i="4"/>
  <c r="B51" i="4"/>
  <c r="A51" i="4"/>
  <c r="F50" i="4"/>
  <c r="E50" i="4"/>
  <c r="D50" i="4"/>
  <c r="C50" i="4"/>
  <c r="B50" i="4"/>
  <c r="A50" i="4"/>
  <c r="F49" i="4"/>
  <c r="E49" i="4"/>
  <c r="D49" i="4"/>
  <c r="C49" i="4"/>
  <c r="B49" i="4"/>
  <c r="A49" i="4"/>
  <c r="F48" i="4"/>
  <c r="E48" i="4"/>
  <c r="D48" i="4"/>
  <c r="C48" i="4"/>
  <c r="B48" i="4"/>
  <c r="A48" i="4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A41" i="4"/>
  <c r="F40" i="4"/>
  <c r="E40" i="4"/>
  <c r="D40" i="4"/>
  <c r="C40" i="4"/>
  <c r="A40" i="4"/>
  <c r="F39" i="4"/>
  <c r="E39" i="4"/>
  <c r="D39" i="4"/>
  <c r="C39" i="4"/>
  <c r="A39" i="4"/>
  <c r="F38" i="4"/>
  <c r="E38" i="4"/>
  <c r="D38" i="4"/>
  <c r="C38" i="4"/>
  <c r="A38" i="4"/>
  <c r="F37" i="4"/>
  <c r="E37" i="4"/>
  <c r="D37" i="4"/>
  <c r="C37" i="4"/>
  <c r="A37" i="4"/>
  <c r="F36" i="4"/>
  <c r="E36" i="4"/>
  <c r="D36" i="4"/>
  <c r="C36" i="4"/>
  <c r="A36" i="4"/>
  <c r="F35" i="4"/>
  <c r="E35" i="4"/>
  <c r="D35" i="4"/>
  <c r="C35" i="4"/>
  <c r="A35" i="4"/>
  <c r="F34" i="4"/>
  <c r="E34" i="4"/>
  <c r="D34" i="4"/>
  <c r="C34" i="4"/>
  <c r="A34" i="4"/>
  <c r="F33" i="4"/>
  <c r="E33" i="4"/>
  <c r="D33" i="4"/>
  <c r="C33" i="4"/>
  <c r="A33" i="4"/>
  <c r="F32" i="4"/>
  <c r="E32" i="4"/>
  <c r="D32" i="4"/>
  <c r="C32" i="4"/>
  <c r="A32" i="4"/>
  <c r="F31" i="4"/>
  <c r="E31" i="4"/>
  <c r="D31" i="4"/>
  <c r="C31" i="4"/>
  <c r="A31" i="4"/>
  <c r="F30" i="4"/>
  <c r="E30" i="4"/>
  <c r="D30" i="4"/>
  <c r="C30" i="4"/>
  <c r="A30" i="4"/>
  <c r="F29" i="4"/>
  <c r="E29" i="4"/>
  <c r="D29" i="4"/>
  <c r="C29" i="4"/>
  <c r="B29" i="4"/>
  <c r="A29" i="4"/>
  <c r="F28" i="4"/>
  <c r="E28" i="4"/>
  <c r="D28" i="4"/>
  <c r="C28" i="4"/>
  <c r="B28" i="4"/>
  <c r="A28" i="4"/>
  <c r="F27" i="4"/>
  <c r="E27" i="4"/>
  <c r="D27" i="4"/>
  <c r="C27" i="4"/>
  <c r="B27" i="4"/>
  <c r="A27" i="4"/>
  <c r="F26" i="4"/>
  <c r="E26" i="4"/>
  <c r="D26" i="4"/>
  <c r="C26" i="4"/>
  <c r="B26" i="4"/>
  <c r="A26" i="4"/>
  <c r="F25" i="4"/>
  <c r="E25" i="4"/>
  <c r="D25" i="4"/>
  <c r="C25" i="4"/>
  <c r="B25" i="4"/>
  <c r="A25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D16" i="4"/>
  <c r="C16" i="4"/>
  <c r="B16" i="4"/>
  <c r="A16" i="4"/>
  <c r="F15" i="4"/>
  <c r="E15" i="4"/>
  <c r="D15" i="4"/>
  <c r="C15" i="4"/>
  <c r="B15" i="4"/>
  <c r="A15" i="4"/>
  <c r="F14" i="4"/>
  <c r="E14" i="4"/>
  <c r="D14" i="4"/>
  <c r="C14" i="4"/>
  <c r="B14" i="4"/>
  <c r="A14" i="4"/>
  <c r="F13" i="4"/>
  <c r="E13" i="4"/>
  <c r="D13" i="4"/>
  <c r="C13" i="4"/>
  <c r="B13" i="4"/>
  <c r="A13" i="4"/>
  <c r="F12" i="4"/>
  <c r="E12" i="4"/>
  <c r="D12" i="4"/>
  <c r="C12" i="4"/>
  <c r="B12" i="4"/>
  <c r="A12" i="4"/>
  <c r="F11" i="4"/>
  <c r="E11" i="4"/>
  <c r="D11" i="4"/>
  <c r="C11" i="4"/>
  <c r="B11" i="4"/>
  <c r="A11" i="4"/>
  <c r="F10" i="4"/>
  <c r="E10" i="4"/>
  <c r="D10" i="4"/>
  <c r="C10" i="4"/>
  <c r="B10" i="4"/>
  <c r="A10" i="4"/>
  <c r="F9" i="4"/>
  <c r="E9" i="4"/>
  <c r="D9" i="4"/>
  <c r="C9" i="4"/>
  <c r="B9" i="4"/>
  <c r="A9" i="4"/>
  <c r="F8" i="4"/>
  <c r="E8" i="4"/>
  <c r="D8" i="4"/>
  <c r="C8" i="4"/>
  <c r="B8" i="4"/>
  <c r="A8" i="4"/>
  <c r="F7" i="4"/>
  <c r="E7" i="4"/>
  <c r="D7" i="4"/>
  <c r="C7" i="4"/>
  <c r="B7" i="4"/>
  <c r="A7" i="4"/>
  <c r="F6" i="4"/>
  <c r="E6" i="4"/>
  <c r="D6" i="4"/>
  <c r="C6" i="4"/>
  <c r="B6" i="4"/>
  <c r="A6" i="4"/>
  <c r="F5" i="4"/>
  <c r="E5" i="4"/>
  <c r="D5" i="4"/>
  <c r="C5" i="4"/>
  <c r="B5" i="4"/>
  <c r="A5" i="4"/>
  <c r="F4" i="4"/>
  <c r="E4" i="4"/>
  <c r="D4" i="4"/>
  <c r="C4" i="4"/>
  <c r="B4" i="4"/>
  <c r="A4" i="4"/>
  <c r="F3" i="4"/>
  <c r="E3" i="4"/>
  <c r="D3" i="4"/>
  <c r="C3" i="4"/>
  <c r="B3" i="4"/>
  <c r="A3" i="4"/>
  <c r="F2" i="4"/>
  <c r="E2" i="4"/>
  <c r="D2" i="4"/>
  <c r="C2" i="4"/>
  <c r="B2" i="4"/>
  <c r="A2" i="4"/>
  <c r="F1" i="4"/>
  <c r="E1" i="4"/>
  <c r="D1" i="4"/>
  <c r="C1" i="4"/>
  <c r="B1" i="4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tc={3c3a5ee9-4fa1-4d27-8e7a-151b1e14b43d}</author>
  </authors>
  <commentList>
    <comment ref="A1" authorId="0" shapeId="0" xr:uid="{3C3A5EE9-4FA1-4D27-8E7A-151B1E14B43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@sarah.cooper@jointheleague.org I swapped this working laptop with either Andrea or Cesar Tadeo's (not sure which one!)
Assigned to sarah.cooper@jointheleague.org</t>
      </text>
    </comment>
  </commentList>
</comments>
</file>

<file path=xl/sharedStrings.xml><?xml version="1.0" encoding="utf-8"?>
<sst xmlns="http://schemas.openxmlformats.org/spreadsheetml/2006/main" count="1607" uniqueCount="687">
  <si>
    <t>Scrapped</t>
  </si>
  <si>
    <t>Serial Number</t>
  </si>
  <si>
    <t>Service Tag</t>
  </si>
  <si>
    <t>Item Name</t>
  </si>
  <si>
    <t>Set</t>
  </si>
  <si>
    <t>CS Name</t>
  </si>
  <si>
    <t>Model</t>
  </si>
  <si>
    <t>Comments</t>
  </si>
  <si>
    <t>Location</t>
  </si>
  <si>
    <t>Image</t>
  </si>
  <si>
    <t>Date Recieved</t>
  </si>
  <si>
    <t>Login</t>
  </si>
  <si>
    <t>Last Inventoried</t>
  </si>
  <si>
    <t>Funding Source</t>
  </si>
  <si>
    <t>Notes</t>
  </si>
  <si>
    <t>28ZZ6F2</t>
  </si>
  <si>
    <t>WTS PC 20</t>
  </si>
  <si>
    <t>Boole</t>
  </si>
  <si>
    <t>Dell Laptop</t>
  </si>
  <si>
    <t>lockbox combo 2006</t>
  </si>
  <si>
    <t>Carmel Valley</t>
  </si>
  <si>
    <t>https://drive.google.com/open?id=0ByP0LbGCZjkxM2F2cEVJNXNqZTA</t>
  </si>
  <si>
    <t>u: ubuntu p: JvN:foc</t>
  </si>
  <si>
    <t>Borrowed by Andrea Tadeo 4/16/2020</t>
  </si>
  <si>
    <t>3X282F2</t>
  </si>
  <si>
    <t>WTS PC 08</t>
  </si>
  <si>
    <t>Brin</t>
  </si>
  <si>
    <t>https://drive.google.com/open?id=0ByP0LbGCZjkxTnJEMGIyY2d3eHc</t>
  </si>
  <si>
    <t>46ZZ6F2</t>
  </si>
  <si>
    <t>WTS PC 32</t>
  </si>
  <si>
    <t>Cerf</t>
  </si>
  <si>
    <t>https://drive.google.com/open?id=0ByP0LbGCZjkxOTg2QzJBbUVGTE0</t>
  </si>
  <si>
    <t>9X282F2</t>
  </si>
  <si>
    <t>WTS PC 10</t>
  </si>
  <si>
    <t>Engelbart</t>
  </si>
  <si>
    <t>https://drive.google.com/open?id=0ByP0LbGCZjkxS0txSlVqZ2xtMGc</t>
  </si>
  <si>
    <t>G2007F2</t>
  </si>
  <si>
    <t>WTS PC 39</t>
  </si>
  <si>
    <t>Gray</t>
  </si>
  <si>
    <t>lockbox combo 2006 (cracked)</t>
  </si>
  <si>
    <t>https://drive.google.com/open?id=0ByP0LbGCZjkxSi1BTGZOaVIzVFE</t>
  </si>
  <si>
    <t>14ZZ6F2</t>
  </si>
  <si>
    <t>WTS PC 33</t>
  </si>
  <si>
    <t>Adleman</t>
  </si>
  <si>
    <t>Busboom</t>
  </si>
  <si>
    <t>https://drive.google.com/open?id=0ByP0LbGCZjkxZ0U5cXF0NThTVlk</t>
  </si>
  <si>
    <t>65ZZ6F2</t>
  </si>
  <si>
    <t>WTS PC 23</t>
  </si>
  <si>
    <t>Conway</t>
  </si>
  <si>
    <t>https://drive.google.com/open?id=0ByP0LbGCZjkxY29GZUNXcmw4RUU</t>
  </si>
  <si>
    <t>Borrowed by Adrian Zuniga 4/6/2020</t>
  </si>
  <si>
    <t>87DN5F2</t>
  </si>
  <si>
    <t>WTS PC 11</t>
  </si>
  <si>
    <t>Dijkstra</t>
  </si>
  <si>
    <t>https://drive.google.com/open?id=0ByV97jmcbVlTMXJvV0JCVVJQaEE</t>
  </si>
  <si>
    <t>C6ZZ6F2</t>
  </si>
  <si>
    <t>WTS PC 24</t>
  </si>
  <si>
    <t>Fredkin</t>
  </si>
  <si>
    <t>https://drive.google.com/open?id=0ByP0LbGCZjkxbUdqbnJhUEVGMXc</t>
  </si>
  <si>
    <t>G2PDFL2</t>
  </si>
  <si>
    <t>WTS PC 44</t>
  </si>
  <si>
    <t>Gosling</t>
  </si>
  <si>
    <t>https://drive.google.com/open?id=1u5t4Gd79E1WLj7Sdy_97BQ1aAb372Ywd</t>
  </si>
  <si>
    <t>6X282F2</t>
  </si>
  <si>
    <t>WTS PC 01</t>
  </si>
  <si>
    <t>Hellman</t>
  </si>
  <si>
    <t>https://drive.google.com/open?id=0ByP0LbGCZjkxWWFrVjFESVRBYkk</t>
  </si>
  <si>
    <t>DXZZ6F2</t>
  </si>
  <si>
    <t>WTS PC 17</t>
  </si>
  <si>
    <t>Kahn</t>
  </si>
  <si>
    <t>https://drive.google.com/open?id=0ByP0LbGCZjkxbHNTWlFrR0JUR2s</t>
  </si>
  <si>
    <t>H2C0XN2</t>
  </si>
  <si>
    <t>WTS PC 48</t>
  </si>
  <si>
    <t>Karp</t>
  </si>
  <si>
    <t>8gb ram</t>
  </si>
  <si>
    <t>https://drive.google.com/open?id=1bkAyfLuHdhFN_FgeOVM8OHrxazeop7zL</t>
  </si>
  <si>
    <t>J2PDFL2</t>
  </si>
  <si>
    <t>WTS PC 43</t>
  </si>
  <si>
    <t>Kay</t>
  </si>
  <si>
    <t>https://drive.google.com/open?id=1v1C9-UsQvGV_q-maoP4o4Xss88ZnRLFg</t>
  </si>
  <si>
    <t>2KPDFL2</t>
  </si>
  <si>
    <t>WTS PC 42</t>
  </si>
  <si>
    <t>Knuth</t>
  </si>
  <si>
    <t>https://drive.google.com/open?id=1vxdGCB6ofHjPI1b17NJF5SJqi3enAYSu</t>
  </si>
  <si>
    <t>13PDFL2</t>
  </si>
  <si>
    <t>WTS PC 41</t>
  </si>
  <si>
    <t>Hoare</t>
  </si>
  <si>
    <t>https://drive.google.com/open?id=1A15CEMnyA7hEald3ejGFl-2JBIYQqZkH</t>
  </si>
  <si>
    <t>16ZZ6F2</t>
  </si>
  <si>
    <t>WTS PC 16</t>
  </si>
  <si>
    <t>Iverson</t>
  </si>
  <si>
    <t>https://drive.google.com/open?id=0ByP0LbGCZjkxajltY0V0RFBxMmM</t>
  </si>
  <si>
    <t>7DZZ6F2</t>
  </si>
  <si>
    <t>WTS PC 30</t>
  </si>
  <si>
    <t>Lamport</t>
  </si>
  <si>
    <t>https://drive.google.com/open?id=0ByP0LbGCZjkxRmo5UVlXYkl4SHc</t>
  </si>
  <si>
    <t>8Z282F2</t>
  </si>
  <si>
    <t>WTS PC 03</t>
  </si>
  <si>
    <t>Liskov</t>
  </si>
  <si>
    <t>https://drive.google.com/open?id=0ByP0LbGCZjkxczZiZHZDZ0xyaVk</t>
  </si>
  <si>
    <t>C2C0XN2</t>
  </si>
  <si>
    <t>WTS PC 51</t>
  </si>
  <si>
    <t>McCarthy</t>
  </si>
  <si>
    <t>https://drive.google.com/open?id=1Oty9YtqFbWyjjTew_ep-CEpXn8AbW0w5</t>
  </si>
  <si>
    <t>Borrowed by Leonard Derrick 4/14/2020</t>
  </si>
  <si>
    <t>1B107F2</t>
  </si>
  <si>
    <t>WTS PC 29</t>
  </si>
  <si>
    <t>Babbage</t>
  </si>
  <si>
    <t>https://drive.google.com/open?id=0ByP0LbGCZjkxNkRoSTNWR2pkX28</t>
  </si>
  <si>
    <t>1C80XN2</t>
  </si>
  <si>
    <t>WTS PC 47</t>
  </si>
  <si>
    <t>Backus</t>
  </si>
  <si>
    <t>https://drive.google.com/open?id=1oSZQQUSY9kXcxI3rjoDM9mVjBvT-ZEKy</t>
  </si>
  <si>
    <t>1ZZZ6F2</t>
  </si>
  <si>
    <t>WTS PC 37</t>
  </si>
  <si>
    <t>Berners-Lee</t>
  </si>
  <si>
    <t>https://drive.google.com/open?id=0ByP0LbGCZjkxNjBKN2x6VW5YbTQ</t>
  </si>
  <si>
    <t>3Y282F2</t>
  </si>
  <si>
    <t>WTS PC 04</t>
  </si>
  <si>
    <t>Brooks</t>
  </si>
  <si>
    <t>https://drive.google.com/open?id=0ByP0LbGCZjkxY0JCUEhsTnVCWms</t>
  </si>
  <si>
    <t>B2C0XN2</t>
  </si>
  <si>
    <t>WTS PC 49</t>
  </si>
  <si>
    <t>Erdos</t>
  </si>
  <si>
    <t>https://drive.google.com/open?id=1FM5yA8U6AkCuNKib29VAC_sWaWE3PVbJ</t>
  </si>
  <si>
    <t>PF3C9GLV</t>
  </si>
  <si>
    <t>Diffie</t>
  </si>
  <si>
    <t>Lenovo Idea Pad 3</t>
  </si>
  <si>
    <t>PF3C8BXS</t>
  </si>
  <si>
    <t>PF3C89PK</t>
  </si>
  <si>
    <t>SFVHHV4FTQ6L4</t>
  </si>
  <si>
    <t>WTS MBA 11</t>
  </si>
  <si>
    <t>Newell</t>
  </si>
  <si>
    <t>Mac Book Air</t>
  </si>
  <si>
    <t>https://drive.google.com/drive/folders/1WrNWp51Jq5Uvd76zVi4T6K7OJLGwePH-?usp=share_link</t>
  </si>
  <si>
    <t>admin/JvN:foc</t>
  </si>
  <si>
    <t>TSDF Level Up 22</t>
  </si>
  <si>
    <t>SFVHHV4WDQ6L4</t>
  </si>
  <si>
    <t>WTS MBA 12</t>
  </si>
  <si>
    <t>Nygaard</t>
  </si>
  <si>
    <t>SFVHHV5Q9Q6L4</t>
  </si>
  <si>
    <t>WTS MBA 15</t>
  </si>
  <si>
    <t>Rabin</t>
  </si>
  <si>
    <t>SFVHHV6AYQ6L4</t>
  </si>
  <si>
    <t>WTS MBA 24</t>
  </si>
  <si>
    <t>Sutherland</t>
  </si>
  <si>
    <t>SFVHHVD81Q6L4</t>
  </si>
  <si>
    <t>WTS MBA 28</t>
  </si>
  <si>
    <t>Torvalds</t>
  </si>
  <si>
    <t>SFVHHVD89Q6L4</t>
  </si>
  <si>
    <t>WTS MBA 29</t>
  </si>
  <si>
    <t>Turing</t>
  </si>
  <si>
    <t>Macbooks Serial Number Images</t>
  </si>
  <si>
    <t>SFVHHV5Q8Q6L4</t>
  </si>
  <si>
    <t>WTS MBA 14</t>
  </si>
  <si>
    <t>Perlis</t>
  </si>
  <si>
    <t>SFVHHV66LQ6L4</t>
  </si>
  <si>
    <t>WTS MBA 23</t>
  </si>
  <si>
    <t>Stroustrup</t>
  </si>
  <si>
    <t>SFVHHV8EVQ6L4</t>
  </si>
  <si>
    <t>WTS MBA 26</t>
  </si>
  <si>
    <t>Tarjan</t>
  </si>
  <si>
    <t>SFVHHV5SEQ6L4</t>
  </si>
  <si>
    <t>WTS MBA 16</t>
  </si>
  <si>
    <t>Ritchie</t>
  </si>
  <si>
    <t>SFVHHV5UTQ6L4</t>
  </si>
  <si>
    <t>WTS MBA 20</t>
  </si>
  <si>
    <t>Shannon</t>
  </si>
  <si>
    <t>5CG425370W</t>
  </si>
  <si>
    <t>Wilkes</t>
  </si>
  <si>
    <t>HP Laptop 17-cp2035cl</t>
  </si>
  <si>
    <t>76732UA#ABA</t>
  </si>
  <si>
    <t>5CG425370W.png</t>
  </si>
  <si>
    <t>5CG34905J6</t>
  </si>
  <si>
    <t>Wirth</t>
  </si>
  <si>
    <t>7G732UA#ABA</t>
  </si>
  <si>
    <t>5CG34905J6.png</t>
  </si>
  <si>
    <t>5CG34019XF</t>
  </si>
  <si>
    <t>Aho</t>
  </si>
  <si>
    <t>HP Laptop 17-cn1069cl</t>
  </si>
  <si>
    <t>91T99UA#ABA</t>
  </si>
  <si>
    <t>5CG34019XF.png</t>
  </si>
  <si>
    <t>5CG4321KDK</t>
  </si>
  <si>
    <t>Bayer</t>
  </si>
  <si>
    <t>HP Laptop 17-cn2283st</t>
  </si>
  <si>
    <t>8Q3J6UA#ABA</t>
  </si>
  <si>
    <t>5CG4321KDK.png</t>
  </si>
  <si>
    <t>5CG32067S5</t>
  </si>
  <si>
    <t>Clark</t>
  </si>
  <si>
    <t>HP Laptop 17-cp2124od</t>
  </si>
  <si>
    <t>6X813UAHABA</t>
  </si>
  <si>
    <t>5CG3206795.png</t>
  </si>
  <si>
    <t>5CG3193H8C</t>
  </si>
  <si>
    <t>Cook</t>
  </si>
  <si>
    <t>HP Laptop 17-cp212400</t>
  </si>
  <si>
    <t>6X813UA#ABA</t>
  </si>
  <si>
    <t>5CG3193H8C.png</t>
  </si>
  <si>
    <t>5CG44710M5</t>
  </si>
  <si>
    <t>Denning</t>
  </si>
  <si>
    <t>HP Laptop 17T-cn300</t>
  </si>
  <si>
    <t>5CG44710VW</t>
  </si>
  <si>
    <t>Feigenbaum</t>
  </si>
  <si>
    <t>5CG44710T6</t>
  </si>
  <si>
    <t>Feldman</t>
  </si>
  <si>
    <t>5CG446345S</t>
  </si>
  <si>
    <t>Ferranti</t>
  </si>
  <si>
    <t>5CG4463343</t>
  </si>
  <si>
    <t>Graham</t>
  </si>
  <si>
    <t>5CG44710LT</t>
  </si>
  <si>
    <t>Desmedt</t>
  </si>
  <si>
    <t>5CG44710JW</t>
  </si>
  <si>
    <t>Fagin</t>
  </si>
  <si>
    <t>5CG44710M3</t>
  </si>
  <si>
    <t>Floyd</t>
  </si>
  <si>
    <t>5CG44633QK</t>
  </si>
  <si>
    <t>Goldwasser</t>
  </si>
  <si>
    <t>5CG446334B</t>
  </si>
  <si>
    <t>Guido</t>
  </si>
  <si>
    <t>SFVHHV5UJQ6L4</t>
  </si>
  <si>
    <t>WTS MBA 19</t>
  </si>
  <si>
    <t>Incomming</t>
  </si>
  <si>
    <t>Shamir</t>
  </si>
  <si>
    <t>SFVHHV5VVQ6L4</t>
  </si>
  <si>
    <t>WTS MBA 21</t>
  </si>
  <si>
    <t>Simon</t>
  </si>
  <si>
    <t>SFVHHV65XQ6L4</t>
  </si>
  <si>
    <t>WTS MBA 22</t>
  </si>
  <si>
    <t>Stallman</t>
  </si>
  <si>
    <t>SFVHHV43MQ6L4</t>
  </si>
  <si>
    <t>WTS MBA 10</t>
  </si>
  <si>
    <t>Loaner</t>
  </si>
  <si>
    <t>Minsky</t>
  </si>
  <si>
    <t>Jed Stumpf</t>
  </si>
  <si>
    <t>SFVHHV5U7Q6L4</t>
  </si>
  <si>
    <t>WTS MBA 17</t>
  </si>
  <si>
    <t>Rivest</t>
  </si>
  <si>
    <t>career.nng@gmail.com</t>
  </si>
  <si>
    <t>SFVHHV5UDQ6L4</t>
  </si>
  <si>
    <t>WTS MBA 18</t>
  </si>
  <si>
    <t>Rossum</t>
  </si>
  <si>
    <t>Osvaldo Ruiz</t>
  </si>
  <si>
    <t>UWM14325</t>
  </si>
  <si>
    <t>WTS PR 1</t>
  </si>
  <si>
    <t>Canon Printer</t>
  </si>
  <si>
    <t>107</t>
  </si>
  <si>
    <t>Carmel Valley (107)</t>
  </si>
  <si>
    <t>https://drive.google.com/open?id=0ByP0LbGCZjkxcEpmMkFGVS1Ea3c</t>
  </si>
  <si>
    <t>66ZZ6F2</t>
  </si>
  <si>
    <t>WTS PC 36</t>
  </si>
  <si>
    <t>BW</t>
  </si>
  <si>
    <t>Dahl</t>
  </si>
  <si>
    <t>?</t>
  </si>
  <si>
    <t>https://drive.google.com/open?id=0ByP0LbGCZjkxWkVWa3hYTUVHRWc</t>
  </si>
  <si>
    <t>19Sep2006</t>
  </si>
  <si>
    <t>WTQ54652</t>
  </si>
  <si>
    <t>WTS PR 2</t>
  </si>
  <si>
    <t>HP Printer</t>
  </si>
  <si>
    <t>Carmel Valley (113)</t>
  </si>
  <si>
    <t>https://drive.google.com/open?id=1sJvK895hp2Nzmzl6_MAzapRsy8Bve1ug</t>
  </si>
  <si>
    <t>C02MWSSZFY0T</t>
  </si>
  <si>
    <t>WTS IM 10</t>
  </si>
  <si>
    <t>iMac 21"</t>
  </si>
  <si>
    <t>Cracked Screen</t>
  </si>
  <si>
    <t>https://drive.google.com/open?id=0ByP0LbGCZjkxZzJRaFlTS1lJNTA</t>
  </si>
  <si>
    <t>C02VN9VZJ1G5</t>
  </si>
  <si>
    <t>WTS IM 33</t>
  </si>
  <si>
    <t>https://drive.google.com/open?id=0ByP0LbGCZjkxdk56SU5tQkVXR1Y2Slh0Snk1THE1RnU4WG5n</t>
  </si>
  <si>
    <t>C02VP1LYH7JY</t>
  </si>
  <si>
    <t>WTS IM 40</t>
  </si>
  <si>
    <t>https://drive.google.com/open?id=0ByP0LbGCZjkxRkp4QjRFM1JLSDdHaEJPYl96UEFoNUpRalpj</t>
  </si>
  <si>
    <t>C02KFN92DNCR</t>
  </si>
  <si>
    <t>WTS IM 08</t>
  </si>
  <si>
    <t>https://drive.google.com/open?id=0ByP0LbGCZjkxNDdUMDRuN25hSlE</t>
  </si>
  <si>
    <t>C02KJ5ALDNCR</t>
  </si>
  <si>
    <t>WTS IM 06</t>
  </si>
  <si>
    <t>https://drive.google.com/open?id=0ByP0LbGCZjkxUlVNVGw5NHNjeFE</t>
  </si>
  <si>
    <t>C02KJ5BEDNCR</t>
  </si>
  <si>
    <t>WTS IM 05</t>
  </si>
  <si>
    <t>https://drive.google.com/open?id=1lpXW0vueZfPXXmBn5CnyjrRqQKWq8fVT</t>
  </si>
  <si>
    <t>C02KJ8FKDNCR</t>
  </si>
  <si>
    <t>WTS IM 07</t>
  </si>
  <si>
    <t>https://drive.google.com/open?id=0ByP0LbGCZjkxdGJzcURPNWJESXc</t>
  </si>
  <si>
    <t>C02MA30AFY0T</t>
  </si>
  <si>
    <t>WTS IM 12</t>
  </si>
  <si>
    <t>https://drive.google.com/open?id=0ByP0LbGCZjkxU2hzT2p1a0xzbjg</t>
  </si>
  <si>
    <t>C02MQ07FFY0T</t>
  </si>
  <si>
    <t>WTS IM 09</t>
  </si>
  <si>
    <t>https://drive.google.com/open?id=0ByP0LbGCZjkxZE5mUWoxWHV6VVk</t>
  </si>
  <si>
    <t>C02MV9SYFY0T</t>
  </si>
  <si>
    <t>WTS IM 11</t>
  </si>
  <si>
    <t>https://drive.google.com/open?id=0ByP0LbGCZjkxNXByTHpDbkZQV1U</t>
  </si>
  <si>
    <t>C02Q81VQGF1J</t>
  </si>
  <si>
    <t>WTS IM 13</t>
  </si>
  <si>
    <t>https://drive.google.com/open?id=0ByP0LbGCZjkxTjBCTWlBemZ1OWc</t>
  </si>
  <si>
    <t>C02QDCXCGF1J</t>
  </si>
  <si>
    <t>WTS IM 15</t>
  </si>
  <si>
    <t>https://drive.google.com/open?id=0ByP0LbGCZjkxby1kVUVmT3RoWDQ</t>
  </si>
  <si>
    <t>C02QDCZFGF1J</t>
  </si>
  <si>
    <t>WTS IM 14</t>
  </si>
  <si>
    <t>https://drive.google.com/open?id=0ByP0LbGCZjkxVlNydldFMXZTREE</t>
  </si>
  <si>
    <t>C02ST0JPGF1J</t>
  </si>
  <si>
    <t>WTS IM 16</t>
  </si>
  <si>
    <t>https://drive.google.com/open?id=0ByP0LbGCZjkxQU1pYWRlYzF5WEU</t>
  </si>
  <si>
    <t>C02ST1TBGF1J</t>
  </si>
  <si>
    <t>WTS IM 19</t>
  </si>
  <si>
    <t>https://drive.google.com/open?id=0ByP0LbGCZjkxS3RQUXBrcng5Qms</t>
  </si>
  <si>
    <t>C02ST36BGF1J</t>
  </si>
  <si>
    <t>WTS IM 22</t>
  </si>
  <si>
    <t>https://drive.google.com/open?id=0ByP0LbGCZjkxNXV3ZW14Tkg2OGc</t>
  </si>
  <si>
    <t>C02ST56KGF1J</t>
  </si>
  <si>
    <t>WTS IM 18</t>
  </si>
  <si>
    <t>https://drive.google.com/open?id=0ByP0LbGCZjkxMjRhSlF0RTQzams</t>
  </si>
  <si>
    <t>C02ST5HUGF1J</t>
  </si>
  <si>
    <t>WTS IM 17</t>
  </si>
  <si>
    <t>https://drive.google.com/open?id=0ByP0LbGCZjkxWjRPNGdNckNjd0E</t>
  </si>
  <si>
    <t>C02ST5UCGF1J</t>
  </si>
  <si>
    <t>WTS IM 21</t>
  </si>
  <si>
    <t>https://drive.google.com/open?id=0ByP0LbGCZjkxeEJPMDBqcG9mWWs</t>
  </si>
  <si>
    <t>C02STGSXGF1J</t>
  </si>
  <si>
    <t>WTS IM 20</t>
  </si>
  <si>
    <t>https://drive.google.com/open?id=0ByP0LbGCZjkxVXZSWmVyaGNHdVk</t>
  </si>
  <si>
    <t>C02TF3E8H7JY</t>
  </si>
  <si>
    <t>WTS IM 25</t>
  </si>
  <si>
    <t>https://drive.google.com/open?id=0ByP0LbGCZjkxbDUwWUpkWkR2RGc</t>
  </si>
  <si>
    <t>C02TF527H7JY</t>
  </si>
  <si>
    <t>WTS IM 24</t>
  </si>
  <si>
    <t>https://drive.google.com/open?id=0ByP0LbGCZjkxVmdOdHB4WjFzUVE</t>
  </si>
  <si>
    <t>C02TX3PJH7JY</t>
  </si>
  <si>
    <t>WTS IM 23</t>
  </si>
  <si>
    <t>https://drive.google.com/open?id=0ByP0LbGCZjkxblJKWjh5VmZXUWM</t>
  </si>
  <si>
    <t>C02VN98NJ1G5</t>
  </si>
  <si>
    <t>WTS IM 30</t>
  </si>
  <si>
    <t>https://drive.google.com/open?id=0ByP0LbGCZjkxNVR1WDBnczZQX0pxanY2dlF5dVJBdFNNMjBR</t>
  </si>
  <si>
    <t>C02VN99SJ1G5</t>
  </si>
  <si>
    <t>WTS IM 32</t>
  </si>
  <si>
    <t>https://drive.google.com/open?id=0ByP0LbGCZjkxaUhadzJQN3JUN2ZmTmhCbHo1bDRVYnFNWDBJ</t>
  </si>
  <si>
    <t>C02VN9NKJ1G5</t>
  </si>
  <si>
    <t>WTS IM 31</t>
  </si>
  <si>
    <t>C02VN9PNJ1G5</t>
  </si>
  <si>
    <t>WTS IM 34</t>
  </si>
  <si>
    <t>https://drive.google.com/open?id=0ByP0LbGCZjkxTlVIek1oWU85MEFHaFNsWThtWVowSndWVlNJ</t>
  </si>
  <si>
    <t>C02VN9VGJ1G5</t>
  </si>
  <si>
    <t>WTS IM 27</t>
  </si>
  <si>
    <t>https://drive.google.com/open?id=0ByP0LbGCZjkxYk5VMVp6YThZU2R5cW12c2FZU2dYLTJWTEpN</t>
  </si>
  <si>
    <t>C02VNA9KJ1G5</t>
  </si>
  <si>
    <t>WTS IM 26</t>
  </si>
  <si>
    <t>https://drive.google.com/open?id=0ByP0LbGCZjkxblVCaUpiQVcyMENuY0E4REp1NWRiVTVEYjJV</t>
  </si>
  <si>
    <t>C02VNA9NJ1G5</t>
  </si>
  <si>
    <t>WTS IM 29</t>
  </si>
  <si>
    <t>https://drive.google.com/open?id=0ByP0LbGCZjkxa2FOZkNFOTVBWUNHdWlmTkZpX21rZ2M4QTNr</t>
  </si>
  <si>
    <t>C02VNAK4J1G5</t>
  </si>
  <si>
    <t>WTS IM 28</t>
  </si>
  <si>
    <t>https://drive.google.com/open?id=0ByP0LbGCZjkxR2lzVW82RXphNENzcnJKbHMzaVhCUnZPWjBZ</t>
  </si>
  <si>
    <t>C02VP19EH7JY</t>
  </si>
  <si>
    <t>WTS IM 35</t>
  </si>
  <si>
    <t>https://drive.google.com/open?id=0ByP0LbGCZjkxRTRlZlR2Wm5rZWRjNldxU3o4cDdvOEJzWWJ3</t>
  </si>
  <si>
    <t>C02VP19FH7JY</t>
  </si>
  <si>
    <t>WTS IM 38</t>
  </si>
  <si>
    <t>https://drive.google.com/open?id=0ByP0LbGCZjkxRzBwV0VpRkJ4WkhRcmNWT1RFSE01MXBwWU9B</t>
  </si>
  <si>
    <t>C02VP1G0H7JY</t>
  </si>
  <si>
    <t>WTS IM 37</t>
  </si>
  <si>
    <t>Borrowed by Tyler 3/14/2020</t>
  </si>
  <si>
    <t>C02VP1JFH7JY</t>
  </si>
  <si>
    <t>WTS IM 39</t>
  </si>
  <si>
    <t>https://drive.google.com/open?id=0ByP0LbGCZjkxbHYwTGIzdXlXT3lybVJJRndmTXliNGpfTnl3</t>
  </si>
  <si>
    <t>C02NL1ZEF8J4</t>
  </si>
  <si>
    <t>WTS TC1</t>
  </si>
  <si>
    <t>iMac 27"</t>
  </si>
  <si>
    <t>Jackie's Desk</t>
  </si>
  <si>
    <t>https://drive.google.com/open?id=0ByP0LbGCZjkxNWJXUG1wc2Z2cjA</t>
  </si>
  <si>
    <t>C02NN3Y3F8J</t>
  </si>
  <si>
    <t>WTS TC2</t>
  </si>
  <si>
    <t>Exec. Dir. Office</t>
  </si>
  <si>
    <t>https://drive.google.com/open?id=0ByP0LbGCZjkxdE9ReWE1UzJpU0k</t>
  </si>
  <si>
    <t>18Sep200e</t>
  </si>
  <si>
    <t>Bag #</t>
  </si>
  <si>
    <t>Contents</t>
  </si>
  <si>
    <t>Desc</t>
  </si>
  <si>
    <t>Label</t>
  </si>
  <si>
    <t>Has Airtag</t>
  </si>
  <si>
    <t>Last Inv</t>
  </si>
  <si>
    <t>Inv By</t>
  </si>
  <si>
    <t>Last Install</t>
  </si>
  <si>
    <t>Note</t>
  </si>
  <si>
    <t>Chromebooks</t>
  </si>
  <si>
    <t>5 Dell, Inspiron 15, Chromebooks</t>
  </si>
  <si>
    <t>Laptops</t>
  </si>
  <si>
    <t>Eric</t>
  </si>
  <si>
    <t>Dell Laptops</t>
  </si>
  <si>
    <t>CV</t>
  </si>
  <si>
    <t>5 Dell, Inspiron 15</t>
  </si>
  <si>
    <t>5 Dell</t>
  </si>
  <si>
    <t>Microbit Motors</t>
  </si>
  <si>
    <t>10 MB, 8 motor kits</t>
  </si>
  <si>
    <t>Micro:bit</t>
  </si>
  <si>
    <t>Macbooks</t>
  </si>
  <si>
    <t>Robot Riot A</t>
  </si>
  <si>
    <t>10 MB,  Misc</t>
  </si>
  <si>
    <t>Robot Riot B</t>
  </si>
  <si>
    <t>Circuits</t>
  </si>
  <si>
    <t>Robot Explorer A</t>
  </si>
  <si>
    <t>10 Edison</t>
  </si>
  <si>
    <t>Robot Explorer B</t>
  </si>
  <si>
    <t>Misc Laptop</t>
  </si>
  <si>
    <t>3 Lenovo Idea Pad</t>
  </si>
  <si>
    <t>Misc laptop</t>
  </si>
  <si>
    <t>HP Laptops</t>
  </si>
  <si>
    <t>Jed</t>
  </si>
  <si>
    <t>2025 17" HP Laptops</t>
  </si>
  <si>
    <t>2026 17" HP Laptops</t>
  </si>
  <si>
    <t>Microbit Misc</t>
  </si>
  <si>
    <t>5 Microbit</t>
  </si>
  <si>
    <t>5MB Pencil Box</t>
  </si>
  <si>
    <t>Sort &amp; Search</t>
  </si>
  <si>
    <t>Cards and Tiles Pencil Box</t>
  </si>
  <si>
    <t>Unknown</t>
  </si>
  <si>
    <t>Microbit Robots Arcade</t>
  </si>
  <si>
    <t>Alfred</t>
  </si>
  <si>
    <t>Robots Arcade</t>
  </si>
  <si>
    <t>Micro:bit Robots</t>
  </si>
  <si>
    <t>Osvaldo</t>
  </si>
  <si>
    <t>10 MB, 6 Cutebot</t>
  </si>
  <si>
    <t>IDK, maybe not created</t>
  </si>
  <si>
    <t>Microbits Misc</t>
  </si>
  <si>
    <t>Name</t>
  </si>
  <si>
    <t>Allocated</t>
  </si>
  <si>
    <t>x</t>
  </si>
  <si>
    <t>Erdős</t>
  </si>
  <si>
    <t>Glennie</t>
  </si>
  <si>
    <t>Goslin</t>
  </si>
  <si>
    <t>Hamming</t>
  </si>
  <si>
    <t>Hopcroft</t>
  </si>
  <si>
    <t>Hopper</t>
  </si>
  <si>
    <t>Johnson</t>
  </si>
  <si>
    <t>Kernighan</t>
  </si>
  <si>
    <t>LeCun</t>
  </si>
  <si>
    <t>Lenstra</t>
  </si>
  <si>
    <t>Levin</t>
  </si>
  <si>
    <t>McKusick</t>
  </si>
  <si>
    <t>Micali</t>
  </si>
  <si>
    <t>Assigned to Macbooks but some are scrapped</t>
  </si>
  <si>
    <t>Morris</t>
  </si>
  <si>
    <t>Needham</t>
  </si>
  <si>
    <t>Page</t>
  </si>
  <si>
    <t>Papadimitriou</t>
  </si>
  <si>
    <t>Parnas</t>
  </si>
  <si>
    <t>Pike</t>
  </si>
  <si>
    <t>Pohl</t>
  </si>
  <si>
    <t>Post</t>
  </si>
  <si>
    <t>Reynolds</t>
  </si>
  <si>
    <t>Rosenblatt</t>
  </si>
  <si>
    <t>Sedgewick</t>
  </si>
  <si>
    <t>Shor</t>
  </si>
  <si>
    <t>Sifakis</t>
  </si>
  <si>
    <t>Spafford</t>
  </si>
  <si>
    <t>Steele</t>
  </si>
  <si>
    <t>Swartz</t>
  </si>
  <si>
    <t>Tanenbaum</t>
  </si>
  <si>
    <t>Thompson</t>
  </si>
  <si>
    <t>Valiant</t>
  </si>
  <si>
    <t>vonNeumann</t>
  </si>
  <si>
    <t>Zadeh</t>
  </si>
  <si>
    <t>Zuse</t>
  </si>
  <si>
    <t>Wilson MS</t>
  </si>
  <si>
    <t>WTS PC 12</t>
  </si>
  <si>
    <t>https://drive.google.com/open?id=0ByV97jmcbVlTZXpLU2h1WkdUa3M</t>
  </si>
  <si>
    <t>Scheduled loan - LLK</t>
  </si>
  <si>
    <t>WTS PC 13</t>
  </si>
  <si>
    <t>https://drive.google.com/open?id=0ByV97jmcbVlTcjVrbHJ6OTFGbEU</t>
  </si>
  <si>
    <t>WIlson MS</t>
  </si>
  <si>
    <t>WTS PC 14</t>
  </si>
  <si>
    <t>https://drive.google.com/open?id=0ByV97jmcbVlTek12ZHlyRDF4M0E</t>
  </si>
  <si>
    <t>WTS PC 18</t>
  </si>
  <si>
    <t>https://drive.google.com/open?id=0ByP0LbGCZjkxOFREMy1zTzk3Ukk</t>
  </si>
  <si>
    <t>Borrowed by Cesar Tadeo 4/16/2020</t>
  </si>
  <si>
    <t>WTS PC 19</t>
  </si>
  <si>
    <t>https://drive.google.com/open?id=0ByP0LbGCZjkxQWI0bWxZME92WFU</t>
  </si>
  <si>
    <t>WTS PC 21</t>
  </si>
  <si>
    <t>https://drive.google.com/open?id=0ByP0LbGCZjkxQ3o4Rmh6Sm9SaWs</t>
  </si>
  <si>
    <t>WTS PC 25</t>
  </si>
  <si>
    <t>https://drive.google.com/open?id=0ByP0LbGCZjkxZGl1OE5oZ2d4UHc</t>
  </si>
  <si>
    <t>Borrowed by Melanie Hererra 4/20/2020</t>
  </si>
  <si>
    <t>WTS PC 27</t>
  </si>
  <si>
    <t>https://drive.google.com/open?id=0ByP0LbGCZjkxN2tTTWlfdVVTZEU</t>
  </si>
  <si>
    <t>WTS PC 35</t>
  </si>
  <si>
    <t>https://drive.google.com/open?id=0ByP0LbGCZjkxc2k0blRQRG1YTXc</t>
  </si>
  <si>
    <t>WTS PC 45</t>
  </si>
  <si>
    <t>https://drive.google.com/open?id=11XL6m5pl485VJ_Iw7z1N-R5LV7u7Ujvq</t>
  </si>
  <si>
    <t>WTS PC 46</t>
  </si>
  <si>
    <t>https://drive.google.com/open?id=19k9ViJunaewMu_paVzl3tg0OigPAvOEs</t>
  </si>
  <si>
    <t>Borrowed by Luis Aguilar 4/7/2020 - Returned to LLK 7/2/2020</t>
  </si>
  <si>
    <t>WTS PC 50</t>
  </si>
  <si>
    <t>https://drive.google.com/open?id=1DMs9oCEdIBmK38FEvi7xDLLYKs58HY_p</t>
  </si>
  <si>
    <t>Borrowed by Karla Morales 4/13/2020</t>
  </si>
  <si>
    <t>WTS PC 52</t>
  </si>
  <si>
    <t>https://drive.google.com/open?id=1WF8KcOMeSvBMyM7Q_W9tXcpED4y3wb8p</t>
  </si>
  <si>
    <t>Borrowed by Rosendo Rodriguez 4/13/2020</t>
  </si>
  <si>
    <t>WTS PC 54</t>
  </si>
  <si>
    <t>https://drive.google.com/open?id=1dqOP96W7LoscoAkr-VSVSAXNgEKuAa4S</t>
  </si>
  <si>
    <t xml:space="preserve">purchased </t>
  </si>
  <si>
    <t xml:space="preserve">Dell Purchase ID: 2005778005444 </t>
  </si>
  <si>
    <t>Customer No: 530002977300</t>
  </si>
  <si>
    <t>Inspiron 15 3000 series Estimated delivery date: Apr. 13, 2017 10 $299.99 $2,999.90</t>
  </si>
  <si>
    <t>ESB These are Macbook Air Serian numbes, not Dell</t>
  </si>
  <si>
    <t>SFVHHV50YQ6L4</t>
  </si>
  <si>
    <t>SFVHHV85FQ6L4</t>
  </si>
  <si>
    <t>SFVHH</t>
  </si>
  <si>
    <t>V43M</t>
  </si>
  <si>
    <t>Q6L4</t>
  </si>
  <si>
    <t>VD81</t>
  </si>
  <si>
    <t>V65X</t>
  </si>
  <si>
    <t>V5UJ</t>
  </si>
  <si>
    <t>V5SE</t>
  </si>
  <si>
    <t>V8EV</t>
  </si>
  <si>
    <t>V5UD</t>
  </si>
  <si>
    <t>VD89</t>
  </si>
  <si>
    <t>V9KK</t>
  </si>
  <si>
    <t>V5Q8</t>
  </si>
  <si>
    <t>V5UT</t>
  </si>
  <si>
    <t>V66L</t>
  </si>
  <si>
    <t>V6AY</t>
  </si>
  <si>
    <t>WTS MBA 27</t>
  </si>
  <si>
    <t>WTS MBA 13</t>
  </si>
  <si>
    <t>WTS MBA 25</t>
  </si>
  <si>
    <t>SFVHHV9KKQ6L4</t>
  </si>
  <si>
    <t>HG3693CB600225Y</t>
  </si>
  <si>
    <t>WTS CB 01</t>
  </si>
  <si>
    <t>Chrome Book</t>
  </si>
  <si>
    <t>https://drive.google.com/open?id=0ByP0LbGCZjkxOHFMZXpISV9VVW8</t>
  </si>
  <si>
    <t>WTS PC 05</t>
  </si>
  <si>
    <t>https://drive.google.com/open?id=0ByP0LbGCZjkxWGRBNUlWT3NPZ0U</t>
  </si>
  <si>
    <t>WTS PC 34</t>
  </si>
  <si>
    <t>https://drive.google.com/open?id=0ByP0LbGCZjkxd1hBc2FqVFB0U1E</t>
  </si>
  <si>
    <t>WTS PC 31</t>
  </si>
  <si>
    <t>https://drive.google.com/open?id=0ByP0LbGCZjkxUlJBOTBYajZvamM</t>
  </si>
  <si>
    <t>WTS PC 07</t>
  </si>
  <si>
    <t>https://drive.google.com/open?id=0ByP0LbGCZjkxejl2R2owc1BpOU0</t>
  </si>
  <si>
    <t>WTS PC 55</t>
  </si>
  <si>
    <t>https://drive.google.com/open?id=1wLQh6G_yjN8SZJF_L0hvJ9WOwolozX6I</t>
  </si>
  <si>
    <t>Borrowed by Jessica Morales 4/10/2020</t>
  </si>
  <si>
    <t>WTS PC 53</t>
  </si>
  <si>
    <t>https://drive.google.com/open?id=1g7Auqo6MB0IeTAlOx6d3ie-gIF-6aEtj</t>
  </si>
  <si>
    <t>Borrowed by Felix Sanchez 4/10/2020</t>
  </si>
  <si>
    <t>WTS PC 22</t>
  </si>
  <si>
    <t>https://drive.google.com/open?id=0ByP0LbGCZjkxVVAyNnpNM2JRUVE</t>
  </si>
  <si>
    <t>WTS PC 26</t>
  </si>
  <si>
    <t>https://drive.google.com/open?id=0ByP0LbGCZjkxdzVGS0hnWFpaUGs</t>
  </si>
  <si>
    <t>Borrowed by Rodrigo Hernandez 4/10/2020</t>
  </si>
  <si>
    <t>X</t>
  </si>
  <si>
    <t>WTS PC 28</t>
  </si>
  <si>
    <t>https://drive.google.com/open?id=0ByP0LbGCZjkxcmJUbG9GVG9UeEk</t>
  </si>
  <si>
    <t>D7DN5F2</t>
  </si>
  <si>
    <t>WTS PC 15</t>
  </si>
  <si>
    <t>https://drive.google.com/open?id=0ByV97jmcbVlTT0pCNkprSXRLR3c</t>
  </si>
  <si>
    <t>GY28F2</t>
  </si>
  <si>
    <t>WTS PC 09</t>
  </si>
  <si>
    <t>https://drive.google.com/open?id=0ByP0LbGCZjkxRmZSYUxnQldmMnc</t>
  </si>
  <si>
    <t>WTS PC 38</t>
  </si>
  <si>
    <t>https://drive.google.com/open?id=0ByP0LbGCZjkxdFpraG9jeC00Mms</t>
  </si>
  <si>
    <t>WTS PC 56</t>
  </si>
  <si>
    <t>https://drive.google.com/open?id=1rOz5v4RhPe64XgAfTngy-amMZvaqmtNo</t>
  </si>
  <si>
    <t>WTS PC 40</t>
  </si>
  <si>
    <t>https://drive.google.com/open?id=111Hp9SetFf2jFyj4Ec-WW077ME-2Zwhg</t>
  </si>
  <si>
    <t>WTS PC 06</t>
  </si>
  <si>
    <t>https://drive.google.com/open?id=0ByP0LbGCZjkxWmZsbGtmQkJDNWs</t>
  </si>
  <si>
    <t>WTS PC 02</t>
  </si>
  <si>
    <t>https://drive.google.com/open?id=0ByP0LbGCZjkxSkVmRW9VbXJYZms</t>
  </si>
  <si>
    <t>C02VP1NGH7JY</t>
  </si>
  <si>
    <t>WTS IM 36</t>
  </si>
  <si>
    <t>https://drive.google.com/open?id=0ByP0LbGCZjkxUlBIRG1fT19zZjFja0dnRmFKaDd6c01OdWVV</t>
  </si>
  <si>
    <t>JGR650CR15111608000383</t>
  </si>
  <si>
    <t>RPI 25</t>
  </si>
  <si>
    <t>iRobot Create 2</t>
  </si>
  <si>
    <t>storage</t>
  </si>
  <si>
    <t>https://drive.google.com/open?id=0ByP0LbGCZjkxUmpoWFpIX2l2cTg</t>
  </si>
  <si>
    <t>JGR650CR15111608000567</t>
  </si>
  <si>
    <t>RPI 24</t>
  </si>
  <si>
    <t>https://drive.google.com/open?id=0ByP0LbGCZjkxTFBEUF9JNUxEckU</t>
  </si>
  <si>
    <t>JGR650CR15111608000570</t>
  </si>
  <si>
    <t>RPI 23</t>
  </si>
  <si>
    <t>https://drive.google.com/open?id=0ByP0LbGCZjkxZHF3bUtPRHpXTE0</t>
  </si>
  <si>
    <t>PRR650CR1603140800017</t>
  </si>
  <si>
    <t>RPI 21</t>
  </si>
  <si>
    <t>https://drive.google.com/open?id=0ByP0LbGCZjkxb010bTlRLUJheWM</t>
  </si>
  <si>
    <t>PRR650CR1603140800019</t>
  </si>
  <si>
    <t>RPI 15</t>
  </si>
  <si>
    <t>https://drive.google.com/open?id=0ByP0LbGCZjkxMjJYU1J4Y3I0dzg</t>
  </si>
  <si>
    <t>PRR650CR1611170800097</t>
  </si>
  <si>
    <t>RPI 1</t>
  </si>
  <si>
    <t>https://drive.google.com/open?id=0ByP0LbGCZjkxX2c1djVfeS1Uenc</t>
  </si>
  <si>
    <t>C17G1JC0DH2G</t>
  </si>
  <si>
    <t>WTS MB 01</t>
  </si>
  <si>
    <t>Mac Book</t>
  </si>
  <si>
    <t>Carmel Valley (107 closet)</t>
  </si>
  <si>
    <t>https://drive.google.com/open?id=0ByP0LbGCZjkxMmtTLXFSRkpGbU0</t>
  </si>
  <si>
    <t>C02VRLN5HV22</t>
  </si>
  <si>
    <t>WTS MB 04</t>
  </si>
  <si>
    <t>Dave's</t>
  </si>
  <si>
    <t>With Dave</t>
  </si>
  <si>
    <t>https://drive.google.com/open?id=0ByP0LbGCZjkxX3BUU210Ni1lMFo4QVd4VkVDYmp4NGJjUEFr</t>
  </si>
  <si>
    <t>C02VV1PUHV27</t>
  </si>
  <si>
    <t>WTS MB 05</t>
  </si>
  <si>
    <t>Keith's</t>
  </si>
  <si>
    <t>With Keith</t>
  </si>
  <si>
    <t>https://drive.google.com/open?id=0ByP0LbGCZjkxWV84Y3h3bmM3RlQxVzNSNmVySjlRQUpIYS1r</t>
  </si>
  <si>
    <t>FVFZ6V5BL410</t>
  </si>
  <si>
    <t>WTS MB 06</t>
  </si>
  <si>
    <t>Sylvia</t>
  </si>
  <si>
    <t>https://drive.google.com/open?id=1I8ng2ifmYzZ-UzJusyrwerffwsoyMmnF</t>
  </si>
  <si>
    <t>C02TJ7TGH3QD</t>
  </si>
  <si>
    <t>WTS MB 02</t>
  </si>
  <si>
    <t>https://drive.google.com/open?id=0ByP0LbGCZjkxUXFFZHMzbUtaMFk</t>
  </si>
  <si>
    <t>C02VRLM3HV22</t>
  </si>
  <si>
    <t>WTS MB 03</t>
  </si>
  <si>
    <t>Sarah</t>
  </si>
  <si>
    <t>https://drive.google.com/open?id=0ByP0LbGCZjkxbXI0ZWlRQzhaQ3BiNE4wVkJDOHRIQWtoYnFZ</t>
  </si>
  <si>
    <t>C07NR2Z2G1HV</t>
  </si>
  <si>
    <t>WTS MM 19</t>
  </si>
  <si>
    <t>Mac Mini</t>
  </si>
  <si>
    <t>https://drive.google.com/open?id=0ByP0LbGCZjkxRFRQMmJCSmxfY28</t>
  </si>
  <si>
    <t>C07JQ0N4DWYN</t>
  </si>
  <si>
    <t>WTS MM 05</t>
  </si>
  <si>
    <t>https://drive.google.com/open?id=0ByP0LbGCZjkxb1NCOGpDRjBqd0k</t>
  </si>
  <si>
    <t>C07NC5DDG1HV</t>
  </si>
  <si>
    <t>WTS MM 17</t>
  </si>
  <si>
    <t>https://drive.google.com/open?id=0ByP0LbGCZjkxYVRXNEMyQlY0RUU</t>
  </si>
  <si>
    <t>C07NDQG3G1HV</t>
  </si>
  <si>
    <t>WTS MM 14</t>
  </si>
  <si>
    <t>https://drive.google.com/open?id=0ByP0LbGCZjkxSGhZZXdWMU5VNTg</t>
  </si>
  <si>
    <t>C07NF8VBG1HV</t>
  </si>
  <si>
    <t>WTS MM 12</t>
  </si>
  <si>
    <t>https://drive.google.com/open?id=0ByP0LbGCZjkxM2ExRjhLeEQwMVE</t>
  </si>
  <si>
    <t>C07NFCAEG1HV</t>
  </si>
  <si>
    <t>WTS MM 13</t>
  </si>
  <si>
    <t>https://drive.google.com/open?id=0ByP0LbGCZjkxcjY5QjU4c2FQQ1U</t>
  </si>
  <si>
    <t>C07NHEG5G1HV</t>
  </si>
  <si>
    <t>WTS MM 15</t>
  </si>
  <si>
    <t>Look Forward Consulting</t>
  </si>
  <si>
    <t>https://drive.google.com/open?id=0ByP0LbGCZjkxbXJ3THZiaW1FZGc</t>
  </si>
  <si>
    <t>C07NJ6V0G1HV</t>
  </si>
  <si>
    <t>WTS MM 16</t>
  </si>
  <si>
    <t>https://drive.google.com/open?id=0ByP0LbGCZjkxVnl6bDY1eVpJSms</t>
  </si>
  <si>
    <t>C07Q24UJG1HV</t>
  </si>
  <si>
    <t>WTS MM 18</t>
  </si>
  <si>
    <t>https://drive.google.com/open?id=0ByP0LbGCZjkxM2lyZVZlTV96R28</t>
  </si>
  <si>
    <t>C07S923MG1HV</t>
  </si>
  <si>
    <t>WTS MM 04</t>
  </si>
  <si>
    <t>https://drive.google.com/open?id=0ByP0LbGCZjkxSVlZdVJVbnMzZjA</t>
  </si>
  <si>
    <t>C07S928NG1HV</t>
  </si>
  <si>
    <t>WTS MM 02</t>
  </si>
  <si>
    <t>https://drive.google.com/open?id=0ByP0LbGCZjkxWFdvalVDcjh2QkE</t>
  </si>
  <si>
    <t>C07SR01FG1HV</t>
  </si>
  <si>
    <t>WTS MM 03</t>
  </si>
  <si>
    <t>https://drive.google.com/open?id=0ByP0LbGCZjkxUWNQXzQzWEVfMG8</t>
  </si>
  <si>
    <t>C07SR3NWG1HV</t>
  </si>
  <si>
    <t>WTS MM 07</t>
  </si>
  <si>
    <t>https://drive.google.com/open?id=0ByP0LbGCZjkxTGp6OElBUVYwSFU</t>
  </si>
  <si>
    <t>C07SR3TSG1HV</t>
  </si>
  <si>
    <t>WTS MM 10</t>
  </si>
  <si>
    <t>https://drive.google.com/open?id=0ByP0LbGCZjkxSDNIWGFGWlpCeTQ</t>
  </si>
  <si>
    <t>C07SR3U7G1HV</t>
  </si>
  <si>
    <t>WTS MM 09</t>
  </si>
  <si>
    <t>https://drive.google.com/open?id=0ByP0LbGCZjkxU1YwbHBnNGVDb0k</t>
  </si>
  <si>
    <t>C07SR3UTG1HV</t>
  </si>
  <si>
    <t>WTS MM 11</t>
  </si>
  <si>
    <t>https://drive.google.com/open?id=0ByP0LbGCZjkxQUhfc0tJa2dXZ1k</t>
  </si>
  <si>
    <t>C07SR3UUG1HV</t>
  </si>
  <si>
    <t>WTS MM 08</t>
  </si>
  <si>
    <t>https://drive.google.com/open?id=0ByP0LbGCZjkxYmhraUt4bjh0aFk</t>
  </si>
  <si>
    <t>C07SJ2DSG1HV</t>
  </si>
  <si>
    <t>WTS MM 01</t>
  </si>
  <si>
    <t>https://drive.google.com/open?id=0ByP0LbGCZjkxNFFMZXVUaVBsbE0</t>
  </si>
  <si>
    <t>C07G2EP5DJY7</t>
  </si>
  <si>
    <t>WTS MM 20</t>
  </si>
  <si>
    <t>dontated by Michiyo</t>
  </si>
  <si>
    <t>https://drive.google.com/open?id=18dMjHi5wafQSvkCECS_sBp4CxTH3ahei</t>
  </si>
  <si>
    <t>Michiyo</t>
  </si>
  <si>
    <t>WX81A77EA6EX</t>
  </si>
  <si>
    <t>WTS HD1T 01</t>
  </si>
  <si>
    <t>1 TB Hard Drive (red)</t>
  </si>
  <si>
    <t>https://drive.google.com/open?id=1xmk9jJKClXBCfe3SmQluFYnGQmALhr79</t>
  </si>
  <si>
    <t>WXG1A77FT4NY</t>
  </si>
  <si>
    <t>WTS HD1T 02</t>
  </si>
  <si>
    <t>https://drive.google.com/open?id=1z7dEPna879lXIvHgZj6YvWDsGI4zPIah</t>
  </si>
  <si>
    <t>WXJ1A487YF2H</t>
  </si>
  <si>
    <t>WTS HD1T 03</t>
  </si>
  <si>
    <t>Sarah's Hard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</si>
</sst>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"/>
    <numFmt numFmtId="165" formatCode="dmmmyyyy"/>
    <numFmt numFmtId="166" formatCode="mmm\ d\ yyyy"/>
    <numFmt numFmtId="167" formatCode="yyyy&quot;-&quot;mm&quot;-&quot;dd"/>
    <numFmt numFmtId="168" formatCode="&quot;$&quot;#,##0.00"/>
  </numFmts>
  <fonts count="34">
    <font>
      <sz val="10"/>
      <color rgb="FF000000"/>
      <name val="Arial"/>
    </font>
    <font>
      <b/>
      <sz val="10"/>
      <name val="Arial"/>
    </font>
    <font>
      <b/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FFFFFF"/>
      <name val="Arial"/>
    </font>
    <font>
      <sz val="10"/>
      <color rgb="FFFFFFFF"/>
      <name val="Roboto"/>
    </font>
    <font>
      <sz val="10"/>
      <color rgb="FF434343"/>
      <name val="Arial"/>
    </font>
    <font>
      <sz val="10"/>
      <color rgb="FF434343"/>
      <name val="Roboto"/>
    </font>
    <font>
      <u/>
      <sz val="10"/>
      <color rgb="FF0000FF"/>
      <name val="Arial"/>
    </font>
    <font>
      <sz val="11"/>
      <color rgb="FF444444"/>
      <name val="&quot;Trebuchet MS&quot;"/>
    </font>
    <font>
      <strike/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A64D79"/>
        <bgColor rgb="FFA64D7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2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164" fontId="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9" fillId="3" borderId="0" xfId="0" applyFont="1" applyFill="1"/>
    <xf numFmtId="164" fontId="3" fillId="3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1" fillId="3" borderId="0" xfId="0" applyFont="1" applyFill="1"/>
    <xf numFmtId="0" fontId="12" fillId="3" borderId="0" xfId="0" applyFont="1" applyFill="1"/>
    <xf numFmtId="49" fontId="3" fillId="4" borderId="0" xfId="0" applyNumberFormat="1" applyFont="1" applyFill="1"/>
    <xf numFmtId="0" fontId="3" fillId="4" borderId="0" xfId="0" applyFont="1" applyFill="1" applyAlignment="1">
      <alignment horizontal="left"/>
    </xf>
    <xf numFmtId="49" fontId="13" fillId="4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49" fontId="3" fillId="2" borderId="0" xfId="0" applyNumberFormat="1" applyFont="1" applyFill="1" applyAlignment="1">
      <alignment horizontal="right"/>
    </xf>
    <xf numFmtId="0" fontId="14" fillId="4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horizontal="left"/>
    </xf>
    <xf numFmtId="49" fontId="15" fillId="5" borderId="0" xfId="0" applyNumberFormat="1" applyFont="1" applyFill="1"/>
    <xf numFmtId="0" fontId="3" fillId="5" borderId="0" xfId="0" applyFont="1" applyFill="1"/>
    <xf numFmtId="165" fontId="3" fillId="5" borderId="0" xfId="0" applyNumberFormat="1" applyFont="1" applyFill="1"/>
    <xf numFmtId="164" fontId="3" fillId="5" borderId="0" xfId="0" applyNumberFormat="1" applyFont="1" applyFill="1"/>
    <xf numFmtId="166" fontId="3" fillId="5" borderId="0" xfId="0" applyNumberFormat="1" applyFont="1" applyFill="1"/>
    <xf numFmtId="0" fontId="3" fillId="5" borderId="0" xfId="0" applyFont="1" applyFill="1" applyAlignment="1">
      <alignment horizontal="left"/>
    </xf>
    <xf numFmtId="49" fontId="16" fillId="5" borderId="0" xfId="0" applyNumberFormat="1" applyFont="1" applyFill="1"/>
    <xf numFmtId="0" fontId="17" fillId="5" borderId="0" xfId="0" applyFont="1" applyFill="1" applyAlignment="1">
      <alignment horizontal="left"/>
    </xf>
    <xf numFmtId="49" fontId="3" fillId="6" borderId="0" xfId="0" applyNumberFormat="1" applyFont="1" applyFill="1"/>
    <xf numFmtId="49" fontId="3" fillId="6" borderId="0" xfId="0" applyNumberFormat="1" applyFont="1" applyFill="1" applyAlignment="1">
      <alignment horizontal="left"/>
    </xf>
    <xf numFmtId="49" fontId="18" fillId="6" borderId="0" xfId="0" applyNumberFormat="1" applyFont="1" applyFill="1"/>
    <xf numFmtId="0" fontId="3" fillId="6" borderId="0" xfId="0" applyFont="1" applyFill="1"/>
    <xf numFmtId="164" fontId="3" fillId="6" borderId="0" xfId="0" applyNumberFormat="1" applyFont="1" applyFill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167" fontId="20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vertical="center"/>
    </xf>
    <xf numFmtId="167" fontId="22" fillId="0" borderId="0" xfId="0" applyNumberFormat="1" applyFont="1" applyAlignment="1">
      <alignment vertical="center"/>
    </xf>
    <xf numFmtId="0" fontId="6" fillId="0" borderId="0" xfId="0" applyFont="1" applyAlignment="1">
      <alignment horizontal="right"/>
    </xf>
    <xf numFmtId="167" fontId="3" fillId="0" borderId="0" xfId="0" applyNumberFormat="1" applyFont="1"/>
    <xf numFmtId="49" fontId="3" fillId="0" borderId="0" xfId="0" applyNumberFormat="1" applyFont="1"/>
    <xf numFmtId="0" fontId="23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/>
    <xf numFmtId="0" fontId="24" fillId="7" borderId="0" xfId="0" applyFont="1" applyFill="1" applyAlignment="1">
      <alignment horizontal="right" vertical="top" wrapText="1"/>
    </xf>
    <xf numFmtId="0" fontId="24" fillId="7" borderId="0" xfId="0" applyFont="1" applyFill="1" applyAlignment="1">
      <alignment horizontal="left" vertical="top" wrapText="1"/>
    </xf>
    <xf numFmtId="168" fontId="17" fillId="7" borderId="0" xfId="0" applyNumberFormat="1" applyFont="1" applyFill="1"/>
    <xf numFmtId="0" fontId="17" fillId="7" borderId="0" xfId="0" applyFont="1" applyFill="1" applyAlignment="1">
      <alignment horizontal="left"/>
    </xf>
    <xf numFmtId="0" fontId="25" fillId="3" borderId="0" xfId="0" applyFont="1" applyFill="1" applyAlignment="1">
      <alignment horizontal="left"/>
    </xf>
    <xf numFmtId="0" fontId="3" fillId="8" borderId="0" xfId="0" applyFont="1" applyFill="1"/>
    <xf numFmtId="0" fontId="3" fillId="8" borderId="0" xfId="0" applyFont="1" applyFill="1" applyAlignment="1">
      <alignment horizontal="left"/>
    </xf>
    <xf numFmtId="0" fontId="26" fillId="8" borderId="0" xfId="0" applyFont="1" applyFill="1"/>
    <xf numFmtId="165" fontId="3" fillId="2" borderId="0" xfId="0" applyNumberFormat="1" applyFont="1" applyFill="1"/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 applyAlignment="1">
      <alignment horizontal="right"/>
    </xf>
    <xf numFmtId="0" fontId="3" fillId="9" borderId="0" xfId="0" applyFont="1" applyFill="1"/>
    <xf numFmtId="0" fontId="3" fillId="9" borderId="0" xfId="0" applyFont="1" applyFill="1" applyAlignment="1">
      <alignment horizontal="left"/>
    </xf>
    <xf numFmtId="0" fontId="27" fillId="9" borderId="0" xfId="0" applyFont="1" applyFill="1"/>
    <xf numFmtId="164" fontId="3" fillId="9" borderId="0" xfId="0" applyNumberFormat="1" applyFont="1" applyFill="1"/>
    <xf numFmtId="165" fontId="3" fillId="9" borderId="0" xfId="0" applyNumberFormat="1" applyFont="1" applyFill="1"/>
    <xf numFmtId="164" fontId="17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9" borderId="0" xfId="0" applyFont="1" applyFill="1"/>
    <xf numFmtId="0" fontId="17" fillId="9" borderId="0" xfId="0" applyFont="1" applyFill="1" applyAlignment="1">
      <alignment horizontal="left"/>
    </xf>
    <xf numFmtId="0" fontId="3" fillId="10" borderId="0" xfId="0" applyFont="1" applyFill="1"/>
    <xf numFmtId="0" fontId="3" fillId="10" borderId="0" xfId="0" applyFont="1" applyFill="1" applyAlignment="1">
      <alignment horizontal="left"/>
    </xf>
    <xf numFmtId="0" fontId="29" fillId="10" borderId="0" xfId="0" applyFont="1" applyFill="1"/>
    <xf numFmtId="49" fontId="3" fillId="9" borderId="0" xfId="0" applyNumberFormat="1" applyFont="1" applyFill="1"/>
    <xf numFmtId="49" fontId="30" fillId="9" borderId="0" xfId="0" applyNumberFormat="1" applyFont="1" applyFill="1"/>
    <xf numFmtId="166" fontId="3" fillId="9" borderId="0" xfId="0" applyNumberFormat="1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horizontal="left"/>
    </xf>
    <xf numFmtId="49" fontId="31" fillId="11" borderId="0" xfId="0" applyNumberFormat="1" applyFont="1" applyFill="1"/>
    <xf numFmtId="0" fontId="3" fillId="11" borderId="0" xfId="0" applyFont="1" applyFill="1"/>
    <xf numFmtId="165" fontId="3" fillId="11" borderId="0" xfId="0" applyNumberFormat="1" applyFont="1" applyFill="1"/>
    <xf numFmtId="164" fontId="3" fillId="11" borderId="0" xfId="0" applyNumberFormat="1" applyFont="1" applyFill="1"/>
    <xf numFmtId="0" fontId="32" fillId="12" borderId="0" xfId="0" applyFont="1" applyFill="1"/>
    <xf numFmtId="0" fontId="32" fillId="12" borderId="0" xfId="0" applyFont="1" applyFill="1" applyAlignment="1">
      <alignment horizontal="left"/>
    </xf>
    <xf numFmtId="0" fontId="33" fillId="12" borderId="0" xfId="0" applyFont="1" applyFill="1"/>
    <xf numFmtId="164" fontId="32" fillId="12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left"/>
    </xf>
    <xf numFmtId="164" fontId="17" fillId="12" borderId="0" xfId="0" applyNumberFormat="1" applyFont="1" applyFill="1" applyAlignment="1">
      <alignment horizontal="right"/>
    </xf>
    <xf numFmtId="167" fontId="22" fillId="0" borderId="0" xfId="0" applyNumberFormat="1" applyFont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0" fontId="22" fillId="0" borderId="0" xfId="0" applyFont="1" applyBorder="1" applyAlignment="1">
      <alignment vertical="center"/>
    </xf>
    <xf numFmtId="167" fontId="22" fillId="7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ag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79973A80-6FEE-4DFA-BB2D-2596589CCEEE}">
    <Anchor>
      <Comment id="{3C3A5EE9-4FA1-4D27-8E7A-151B1E14B43D}"/>
    </Anchor>
    <History>
      <Event time="2020-07-10T19:20:15.0" id="{1C508247-88C6-49C6-983E-8D2C32FF619C}">
        <Attribution userId="placeholder@email.com" userName="Laurel Kelly" userProvider="google-sheets"/>
        <Anchor>
          <Comment id="{3C3A5EE9-4FA1-4D27-8E7A-151B1E14B43D}"/>
        </Anchor>
        <Create/>
      </Event>
      <Event time="2020-07-10T19:20:15.0" id="{C3C0F20F-28E5-4442-9FC1-CC3D29A518F9}">
        <Attribution userId="placeholder@email.com" userName="Laurel Kelly" userProvider="google-sheets"/>
        <Anchor>
          <Comment id="{3C3A5EE9-4FA1-4D27-8E7A-151B1E14B43D}"/>
        </Anchor>
        <Assign userId="sarah.cooper@jointheleague.org" userName="sarah.cooper@jointheleague.org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Laurel Kelly" id="{4DC06355-9DF1-467A-8649-BF5AD69D490F}" userId="" providerId="google-sheets"/>
  <person displayName="sarah.cooper@jointheleague.org" id="{B1A59894-63BE-1443-817F-FEA44D703D1F}" userId="sarah.cooper@jointheleague.org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27">
  <sortState xmlns:xlrd2="http://schemas.microsoft.com/office/spreadsheetml/2017/richdata2" ref="A2:J27">
    <sortCondition ref="A1:A27"/>
  </sortState>
  <tableColumns count="10">
    <tableColumn id="1" xr3:uid="{00000000-0010-0000-0000-000001000000}" name="Bag #"/>
    <tableColumn id="2" xr3:uid="{00000000-0010-0000-0000-000002000000}" name="Contents"/>
    <tableColumn id="3" xr3:uid="{00000000-0010-0000-0000-000003000000}" name="Location"/>
    <tableColumn id="4" xr3:uid="{00000000-0010-0000-0000-000004000000}" name="Desc"/>
    <tableColumn id="5" xr3:uid="{00000000-0010-0000-0000-000005000000}" name="Label"/>
    <tableColumn id="6" xr3:uid="{00000000-0010-0000-0000-000006000000}" name="Has Airtag"/>
    <tableColumn id="7" xr3:uid="{00000000-0010-0000-0000-000007000000}" name="Last Inv"/>
    <tableColumn id="8" xr3:uid="{00000000-0010-0000-0000-000008000000}" name="Inv By"/>
    <tableColumn id="9" xr3:uid="{00000000-0010-0000-0000-000009000000}" name="Last Install"/>
    <tableColumn id="10" xr3:uid="{00000000-0010-0000-0000-00000A000000}" name="Note"/>
  </tableColumns>
  <tableStyleInfo name="Bag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07-10T19:20:15.00" personId="{4DC06355-9DF1-467A-8649-BF5AD69D490F}" id="{3C3A5EE9-4FA1-4D27-8E7A-151B1E14B43D}">
    <text>@sarah.cooper@jointheleague.org I swapped this working laptop with either Andrea or Cesar Tadeo's (not sure which one!)
Assigned to sarah.cooper@jointheleague.org</text>
    <mentions>
      <mention mentionpersonId="{B1A59894-63BE-1443-817F-FEA44D703D1F}" mentionId="{B834E75C-6788-433A-B064-9B04E67E3BBB}" startIndex="0" length="3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WrNWp51Jq5Uvd76zVi4T6K7OJLGwePH-?usp=share_link" TargetMode="External"/><Relationship Id="rId21" Type="http://schemas.openxmlformats.org/officeDocument/2006/relationships/hyperlink" Target="https://drive.google.com/open?id=0ByP0LbGCZjkxNkRoSTNWR2pkX28" TargetMode="External"/><Relationship Id="rId42" Type="http://schemas.openxmlformats.org/officeDocument/2006/relationships/hyperlink" Target="https://drive.google.com/file/d/1Yirl0xgU7bxsyFdCWzgw5Xe5ovpPqzrq/view?usp=drive_link" TargetMode="External"/><Relationship Id="rId47" Type="http://schemas.openxmlformats.org/officeDocument/2006/relationships/hyperlink" Target="https://drive.google.com/drive/folders/1WrNWp51Jq5Uvd76zVi4T6K7OJLGwePH-?usp=share_link" TargetMode="External"/><Relationship Id="rId63" Type="http://schemas.openxmlformats.org/officeDocument/2006/relationships/hyperlink" Target="https://drive.google.com/open?id=0ByP0LbGCZjkxNXByTHpDbkZQV1U" TargetMode="External"/><Relationship Id="rId68" Type="http://schemas.openxmlformats.org/officeDocument/2006/relationships/hyperlink" Target="https://drive.google.com/open?id=0ByP0LbGCZjkxS3RQUXBrcng5Qms" TargetMode="External"/><Relationship Id="rId84" Type="http://schemas.openxmlformats.org/officeDocument/2006/relationships/hyperlink" Target="https://drive.google.com/open?id=0ByP0LbGCZjkxR2lzVW82RXphNENzcnJKbHMzaVhCUnZPWjBZ" TargetMode="External"/><Relationship Id="rId89" Type="http://schemas.openxmlformats.org/officeDocument/2006/relationships/hyperlink" Target="https://drive.google.com/open?id=0ByP0LbGCZjkxNWJXUG1wc2Z2cjA" TargetMode="External"/><Relationship Id="rId16" Type="http://schemas.openxmlformats.org/officeDocument/2006/relationships/hyperlink" Target="https://drive.google.com/open?id=1A15CEMnyA7hEald3ejGFl-2JBIYQqZkH" TargetMode="External"/><Relationship Id="rId11" Type="http://schemas.openxmlformats.org/officeDocument/2006/relationships/hyperlink" Target="https://drive.google.com/open?id=0ByP0LbGCZjkxWWFrVjFESVRBYkk" TargetMode="External"/><Relationship Id="rId32" Type="http://schemas.openxmlformats.org/officeDocument/2006/relationships/hyperlink" Target="https://drive.google.com/drive/folders/1WrNWp51Jq5Uvd76zVi4T6K7OJLGwePH-?usp=share_link" TargetMode="External"/><Relationship Id="rId37" Type="http://schemas.openxmlformats.org/officeDocument/2006/relationships/hyperlink" Target="https://drive.google.com/file/d/1J-RFPdzK8T8VrEbvPkDLWYXeiB78ETsy/view?usp=drive_link" TargetMode="External"/><Relationship Id="rId53" Type="http://schemas.openxmlformats.org/officeDocument/2006/relationships/hyperlink" Target="https://drive.google.com/open?id=1sJvK895hp2Nzmzl6_MAzapRsy8Bve1ug" TargetMode="External"/><Relationship Id="rId58" Type="http://schemas.openxmlformats.org/officeDocument/2006/relationships/hyperlink" Target="https://drive.google.com/open?id=0ByP0LbGCZjkxUlVNVGw5NHNjeFE" TargetMode="External"/><Relationship Id="rId74" Type="http://schemas.openxmlformats.org/officeDocument/2006/relationships/hyperlink" Target="https://drive.google.com/open?id=0ByP0LbGCZjkxbDUwWUpkWkR2RGc" TargetMode="External"/><Relationship Id="rId79" Type="http://schemas.openxmlformats.org/officeDocument/2006/relationships/hyperlink" Target="https://drive.google.com/open?id=0ByP0LbGCZjkxNVR1WDBnczZQX0pxanY2dlF5dVJBdFNNMjBR" TargetMode="External"/><Relationship Id="rId5" Type="http://schemas.openxmlformats.org/officeDocument/2006/relationships/hyperlink" Target="https://drive.google.com/open?id=0ByP0LbGCZjkxSi1BTGZOaVIzVFE" TargetMode="External"/><Relationship Id="rId90" Type="http://schemas.openxmlformats.org/officeDocument/2006/relationships/hyperlink" Target="https://drive.google.com/open?id=0ByP0LbGCZjkxdE9ReWE1UzJpU0k" TargetMode="External"/><Relationship Id="rId22" Type="http://schemas.openxmlformats.org/officeDocument/2006/relationships/hyperlink" Target="https://drive.google.com/open?id=1oSZQQUSY9kXcxI3rjoDM9mVjBvT-ZEKy" TargetMode="External"/><Relationship Id="rId27" Type="http://schemas.openxmlformats.org/officeDocument/2006/relationships/hyperlink" Target="https://drive.google.com/drive/folders/1WrNWp51Jq5Uvd76zVi4T6K7OJLGwePH-?usp=share_link" TargetMode="External"/><Relationship Id="rId43" Type="http://schemas.openxmlformats.org/officeDocument/2006/relationships/hyperlink" Target="https://drive.google.com/drive/folders/1WrNWp51Jq5Uvd76zVi4T6K7OJLGwePH-?usp=share_link" TargetMode="External"/><Relationship Id="rId48" Type="http://schemas.openxmlformats.org/officeDocument/2006/relationships/hyperlink" Target="mailto:career.nng@gmail.com" TargetMode="External"/><Relationship Id="rId64" Type="http://schemas.openxmlformats.org/officeDocument/2006/relationships/hyperlink" Target="https://drive.google.com/open?id=0ByP0LbGCZjkxTjBCTWlBemZ1OWc" TargetMode="External"/><Relationship Id="rId69" Type="http://schemas.openxmlformats.org/officeDocument/2006/relationships/hyperlink" Target="https://drive.google.com/open?id=0ByP0LbGCZjkxNXV3ZW14Tkg2OGc" TargetMode="External"/><Relationship Id="rId8" Type="http://schemas.openxmlformats.org/officeDocument/2006/relationships/hyperlink" Target="https://drive.google.com/open?id=0ByV97jmcbVlTMXJvV0JCVVJQaEE" TargetMode="External"/><Relationship Id="rId51" Type="http://schemas.openxmlformats.org/officeDocument/2006/relationships/hyperlink" Target="https://drive.google.com/open?id=0ByP0LbGCZjkxcEpmMkFGVS1Ea3c" TargetMode="External"/><Relationship Id="rId72" Type="http://schemas.openxmlformats.org/officeDocument/2006/relationships/hyperlink" Target="https://drive.google.com/open?id=0ByP0LbGCZjkxeEJPMDBqcG9mWWs" TargetMode="External"/><Relationship Id="rId80" Type="http://schemas.openxmlformats.org/officeDocument/2006/relationships/hyperlink" Target="https://drive.google.com/open?id=0ByP0LbGCZjkxTlVIek1oWU85MEFHaFNsWThtWVowSndWVlNJ" TargetMode="External"/><Relationship Id="rId85" Type="http://schemas.openxmlformats.org/officeDocument/2006/relationships/hyperlink" Target="https://drive.google.com/open?id=0ByP0LbGCZjkxRTRlZlR2Wm5rZWRjNldxU3o4cDdvOEJzWWJ3" TargetMode="External"/><Relationship Id="rId93" Type="http://schemas.microsoft.com/office/2017/10/relationships/threadedComment" Target="../threadedComments/threadedComment1.xml"/><Relationship Id="rId3" Type="http://schemas.openxmlformats.org/officeDocument/2006/relationships/hyperlink" Target="https://drive.google.com/open?id=0ByP0LbGCZjkxOTg2QzJBbUVGTE0" TargetMode="External"/><Relationship Id="rId12" Type="http://schemas.openxmlformats.org/officeDocument/2006/relationships/hyperlink" Target="https://drive.google.com/open?id=0ByP0LbGCZjkxbHNTWlFrR0JUR2s" TargetMode="External"/><Relationship Id="rId17" Type="http://schemas.openxmlformats.org/officeDocument/2006/relationships/hyperlink" Target="https://drive.google.com/open?id=0ByP0LbGCZjkxajltY0V0RFBxMmM" TargetMode="External"/><Relationship Id="rId25" Type="http://schemas.openxmlformats.org/officeDocument/2006/relationships/hyperlink" Target="https://drive.google.com/open?id=1FM5yA8U6AkCuNKib29VAC_sWaWE3PVbJ" TargetMode="External"/><Relationship Id="rId33" Type="http://schemas.openxmlformats.org/officeDocument/2006/relationships/hyperlink" Target="https://drive.google.com/drive/folders/1WrNWp51Jq5Uvd76zVi4T6K7OJLGwePH-?usp=share_link" TargetMode="External"/><Relationship Id="rId38" Type="http://schemas.openxmlformats.org/officeDocument/2006/relationships/hyperlink" Target="https://drive.google.com/file/d/1NgPq77U8Lac6VfE4b9kMTYNhxZpC87vn/view?usp=drive_link" TargetMode="External"/><Relationship Id="rId46" Type="http://schemas.openxmlformats.org/officeDocument/2006/relationships/hyperlink" Target="mailto:jed.stumpf@jointheleague.org" TargetMode="External"/><Relationship Id="rId59" Type="http://schemas.openxmlformats.org/officeDocument/2006/relationships/hyperlink" Target="https://drive.google.com/open?id=1lpXW0vueZfPXXmBn5CnyjrRqQKWq8fVT" TargetMode="External"/><Relationship Id="rId67" Type="http://schemas.openxmlformats.org/officeDocument/2006/relationships/hyperlink" Target="https://drive.google.com/open?id=0ByP0LbGCZjkxQU1pYWRlYzF5WEU" TargetMode="External"/><Relationship Id="rId20" Type="http://schemas.openxmlformats.org/officeDocument/2006/relationships/hyperlink" Target="https://drive.google.com/open?id=1Oty9YtqFbWyjjTew_ep-CEpXn8AbW0w5" TargetMode="External"/><Relationship Id="rId41" Type="http://schemas.openxmlformats.org/officeDocument/2006/relationships/hyperlink" Target="https://drive.google.com/file/d/1lQJO-O4io-nYF1u6sqTgbFPIfwQp-kt1/view?usp=drive_link" TargetMode="External"/><Relationship Id="rId54" Type="http://schemas.openxmlformats.org/officeDocument/2006/relationships/hyperlink" Target="https://drive.google.com/open?id=0ByP0LbGCZjkxZzJRaFlTS1lJNTA" TargetMode="External"/><Relationship Id="rId62" Type="http://schemas.openxmlformats.org/officeDocument/2006/relationships/hyperlink" Target="https://drive.google.com/open?id=0ByP0LbGCZjkxZE5mUWoxWHV6VVk" TargetMode="External"/><Relationship Id="rId70" Type="http://schemas.openxmlformats.org/officeDocument/2006/relationships/hyperlink" Target="https://drive.google.com/open?id=0ByP0LbGCZjkxMjRhSlF0RTQzams" TargetMode="External"/><Relationship Id="rId75" Type="http://schemas.openxmlformats.org/officeDocument/2006/relationships/hyperlink" Target="https://drive.google.com/open?id=0ByP0LbGCZjkxVmdOdHB4WjFzUVE" TargetMode="External"/><Relationship Id="rId83" Type="http://schemas.openxmlformats.org/officeDocument/2006/relationships/hyperlink" Target="https://drive.google.com/open?id=0ByP0LbGCZjkxa2FOZkNFOTVBWUNHdWlmTkZpX21rZ2M4QTNr" TargetMode="External"/><Relationship Id="rId88" Type="http://schemas.openxmlformats.org/officeDocument/2006/relationships/hyperlink" Target="https://drive.google.com/open?id=0ByP0LbGCZjkxbHYwTGIzdXlXT3lybVJJRndmTXliNGpfTnl3" TargetMode="External"/><Relationship Id="rId91" Type="http://schemas.openxmlformats.org/officeDocument/2006/relationships/vmlDrawing" Target="../drawings/vmlDrawing1.vml"/><Relationship Id="rId1" Type="http://schemas.openxmlformats.org/officeDocument/2006/relationships/hyperlink" Target="https://drive.google.com/open?id=0ByP0LbGCZjkxM2F2cEVJNXNqZTA" TargetMode="External"/><Relationship Id="rId6" Type="http://schemas.openxmlformats.org/officeDocument/2006/relationships/hyperlink" Target="https://drive.google.com/open?id=0ByP0LbGCZjkxZ0U5cXF0NThTVlk" TargetMode="External"/><Relationship Id="rId15" Type="http://schemas.openxmlformats.org/officeDocument/2006/relationships/hyperlink" Target="https://drive.google.com/open?id=1vxdGCB6ofHjPI1b17NJF5SJqi3enAYSu" TargetMode="External"/><Relationship Id="rId23" Type="http://schemas.openxmlformats.org/officeDocument/2006/relationships/hyperlink" Target="https://drive.google.com/open?id=0ByP0LbGCZjkxNjBKN2x6VW5YbTQ" TargetMode="External"/><Relationship Id="rId28" Type="http://schemas.openxmlformats.org/officeDocument/2006/relationships/hyperlink" Target="https://drive.google.com/drive/folders/1WrNWp51Jq5Uvd76zVi4T6K7OJLGwePH-?usp=share_link" TargetMode="External"/><Relationship Id="rId36" Type="http://schemas.openxmlformats.org/officeDocument/2006/relationships/hyperlink" Target="https://drive.google.com/drive/folders/1WrNWp51Jq5Uvd76zVi4T6K7OJLGwePH-?usp=share_link" TargetMode="External"/><Relationship Id="rId49" Type="http://schemas.openxmlformats.org/officeDocument/2006/relationships/hyperlink" Target="https://drive.google.com/drive/folders/1WrNWp51Jq5Uvd76zVi4T6K7OJLGwePH-?usp=share_link" TargetMode="External"/><Relationship Id="rId57" Type="http://schemas.openxmlformats.org/officeDocument/2006/relationships/hyperlink" Target="https://drive.google.com/open?id=0ByP0LbGCZjkxNDdUMDRuN25hSlE" TargetMode="External"/><Relationship Id="rId10" Type="http://schemas.openxmlformats.org/officeDocument/2006/relationships/hyperlink" Target="https://drive.google.com/open?id=1u5t4Gd79E1WLj7Sdy_97BQ1aAb372Ywd" TargetMode="External"/><Relationship Id="rId31" Type="http://schemas.openxmlformats.org/officeDocument/2006/relationships/hyperlink" Target="https://drive.google.com/drive/folders/1WrNWp51Jq5Uvd76zVi4T6K7OJLGwePH-?usp=share_link" TargetMode="External"/><Relationship Id="rId44" Type="http://schemas.openxmlformats.org/officeDocument/2006/relationships/hyperlink" Target="https://drive.google.com/drive/folders/1WrNWp51Jq5Uvd76zVi4T6K7OJLGwePH-?usp=share_link" TargetMode="External"/><Relationship Id="rId52" Type="http://schemas.openxmlformats.org/officeDocument/2006/relationships/hyperlink" Target="https://drive.google.com/open?id=0ByP0LbGCZjkxWkVWa3hYTUVHRWc" TargetMode="External"/><Relationship Id="rId60" Type="http://schemas.openxmlformats.org/officeDocument/2006/relationships/hyperlink" Target="https://drive.google.com/open?id=0ByP0LbGCZjkxdGJzcURPNWJESXc" TargetMode="External"/><Relationship Id="rId65" Type="http://schemas.openxmlformats.org/officeDocument/2006/relationships/hyperlink" Target="https://drive.google.com/open?id=0ByP0LbGCZjkxby1kVUVmT3RoWDQ" TargetMode="External"/><Relationship Id="rId73" Type="http://schemas.openxmlformats.org/officeDocument/2006/relationships/hyperlink" Target="https://drive.google.com/open?id=0ByP0LbGCZjkxVXZSWmVyaGNHdVk" TargetMode="External"/><Relationship Id="rId78" Type="http://schemas.openxmlformats.org/officeDocument/2006/relationships/hyperlink" Target="https://drive.google.com/open?id=0ByP0LbGCZjkxaUhadzJQN3JUN2ZmTmhCbHo1bDRVYnFNWDBJ" TargetMode="External"/><Relationship Id="rId81" Type="http://schemas.openxmlformats.org/officeDocument/2006/relationships/hyperlink" Target="https://drive.google.com/open?id=0ByP0LbGCZjkxYk5VMVp6YThZU2R5cW12c2FZU2dYLTJWTEpN" TargetMode="External"/><Relationship Id="rId86" Type="http://schemas.openxmlformats.org/officeDocument/2006/relationships/hyperlink" Target="https://drive.google.com/open?id=0ByP0LbGCZjkxRzBwV0VpRkJ4WkhRcmNWT1RFSE01MXBwWU9B" TargetMode="External"/><Relationship Id="rId94" Type="http://schemas.microsoft.com/office/2019/04/relationships/documenttask" Target="../documenttasks/documenttask1.xml"/><Relationship Id="rId4" Type="http://schemas.openxmlformats.org/officeDocument/2006/relationships/hyperlink" Target="https://drive.google.com/open?id=0ByP0LbGCZjkxS0txSlVqZ2xtMGc" TargetMode="External"/><Relationship Id="rId9" Type="http://schemas.openxmlformats.org/officeDocument/2006/relationships/hyperlink" Target="https://drive.google.com/open?id=0ByP0LbGCZjkxbUdqbnJhUEVGMXc" TargetMode="External"/><Relationship Id="rId13" Type="http://schemas.openxmlformats.org/officeDocument/2006/relationships/hyperlink" Target="https://drive.google.com/open?id=1bkAyfLuHdhFN_FgeOVM8OHrxazeop7zL" TargetMode="External"/><Relationship Id="rId18" Type="http://schemas.openxmlformats.org/officeDocument/2006/relationships/hyperlink" Target="https://drive.google.com/open?id=0ByP0LbGCZjkxRmo5UVlXYkl4SHc" TargetMode="External"/><Relationship Id="rId39" Type="http://schemas.openxmlformats.org/officeDocument/2006/relationships/hyperlink" Target="https://drive.google.com/file/d/1LZArc-QBcFqZQQeywmI2oQVZuv7CDA0v/view?usp=drive_link" TargetMode="External"/><Relationship Id="rId34" Type="http://schemas.openxmlformats.org/officeDocument/2006/relationships/hyperlink" Target="https://drive.google.com/drive/folders/1WrNWp51Jq5Uvd76zVi4T6K7OJLGwePH-?usp=share_link" TargetMode="External"/><Relationship Id="rId50" Type="http://schemas.openxmlformats.org/officeDocument/2006/relationships/hyperlink" Target="https://drive.google.com/drive/folders/1WrNWp51Jq5Uvd76zVi4T6K7OJLGwePH-?usp=share_link" TargetMode="External"/><Relationship Id="rId55" Type="http://schemas.openxmlformats.org/officeDocument/2006/relationships/hyperlink" Target="https://drive.google.com/open?id=0ByP0LbGCZjkxdk56SU5tQkVXR1Y2Slh0Snk1THE1RnU4WG5n" TargetMode="External"/><Relationship Id="rId76" Type="http://schemas.openxmlformats.org/officeDocument/2006/relationships/hyperlink" Target="https://drive.google.com/open?id=0ByP0LbGCZjkxblJKWjh5VmZXUWM" TargetMode="External"/><Relationship Id="rId7" Type="http://schemas.openxmlformats.org/officeDocument/2006/relationships/hyperlink" Target="https://drive.google.com/open?id=0ByP0LbGCZjkxY29GZUNXcmw4RUU" TargetMode="External"/><Relationship Id="rId71" Type="http://schemas.openxmlformats.org/officeDocument/2006/relationships/hyperlink" Target="https://drive.google.com/open?id=0ByP0LbGCZjkxWjRPNGdNckNjd0E" TargetMode="External"/><Relationship Id="rId92" Type="http://schemas.openxmlformats.org/officeDocument/2006/relationships/comments" Target="../comments1.xml"/><Relationship Id="rId2" Type="http://schemas.openxmlformats.org/officeDocument/2006/relationships/hyperlink" Target="https://drive.google.com/open?id=0ByP0LbGCZjkxTnJEMGIyY2d3eHc" TargetMode="External"/><Relationship Id="rId29" Type="http://schemas.openxmlformats.org/officeDocument/2006/relationships/hyperlink" Target="https://drive.google.com/drive/folders/1WrNWp51Jq5Uvd76zVi4T6K7OJLGwePH-?usp=share_link" TargetMode="External"/><Relationship Id="rId24" Type="http://schemas.openxmlformats.org/officeDocument/2006/relationships/hyperlink" Target="https://drive.google.com/open?id=0ByP0LbGCZjkxY0JCUEhsTnVCWms" TargetMode="External"/><Relationship Id="rId40" Type="http://schemas.openxmlformats.org/officeDocument/2006/relationships/hyperlink" Target="https://drive.google.com/file/d/1nSxMa58Y1JgsPFLeVfTjws9LDJ1xRy-H/view?usp=drive_link" TargetMode="External"/><Relationship Id="rId45" Type="http://schemas.openxmlformats.org/officeDocument/2006/relationships/hyperlink" Target="https://drive.google.com/drive/folders/1WrNWp51Jq5Uvd76zVi4T6K7OJLGwePH-?usp=share_link" TargetMode="External"/><Relationship Id="rId66" Type="http://schemas.openxmlformats.org/officeDocument/2006/relationships/hyperlink" Target="https://drive.google.com/open?id=0ByP0LbGCZjkxVlNydldFMXZTREE" TargetMode="External"/><Relationship Id="rId87" Type="http://schemas.openxmlformats.org/officeDocument/2006/relationships/hyperlink" Target="https://drive.google.com/open?id=0ByP0LbGCZjkxRzBwV0VpRkJ4WkhRcmNWT1RFSE01MXBwWU9B" TargetMode="External"/><Relationship Id="rId61" Type="http://schemas.openxmlformats.org/officeDocument/2006/relationships/hyperlink" Target="https://drive.google.com/open?id=0ByP0LbGCZjkxU2hzT2p1a0xzbjg" TargetMode="External"/><Relationship Id="rId82" Type="http://schemas.openxmlformats.org/officeDocument/2006/relationships/hyperlink" Target="https://drive.google.com/open?id=0ByP0LbGCZjkxblVCaUpiQVcyMENuY0E4REp1NWRiVTVEYjJV" TargetMode="External"/><Relationship Id="rId19" Type="http://schemas.openxmlformats.org/officeDocument/2006/relationships/hyperlink" Target="https://drive.google.com/open?id=0ByP0LbGCZjkxczZiZHZDZ0xyaVk" TargetMode="External"/><Relationship Id="rId14" Type="http://schemas.openxmlformats.org/officeDocument/2006/relationships/hyperlink" Target="https://drive.google.com/open?id=1v1C9-UsQvGV_q-maoP4o4Xss88ZnRLFg" TargetMode="External"/><Relationship Id="rId30" Type="http://schemas.openxmlformats.org/officeDocument/2006/relationships/hyperlink" Target="https://drive.google.com/drive/folders/1WrNWp51Jq5Uvd76zVi4T6K7OJLGwePH-?usp=share_link" TargetMode="External"/><Relationship Id="rId35" Type="http://schemas.openxmlformats.org/officeDocument/2006/relationships/hyperlink" Target="https://drive.google.com/drive/folders/1WrNWp51Jq5Uvd76zVi4T6K7OJLGwePH-?usp=share_link" TargetMode="External"/><Relationship Id="rId56" Type="http://schemas.openxmlformats.org/officeDocument/2006/relationships/hyperlink" Target="https://drive.google.com/open?id=0ByP0LbGCZjkxRkp4QjRFM1JLSDdHaEJPYl96UEFoNUpRalpj" TargetMode="External"/><Relationship Id="rId77" Type="http://schemas.openxmlformats.org/officeDocument/2006/relationships/hyperlink" Target="https://drive.google.com/open?id=0ByP0LbGCZjkxNVR1WDBnczZQX0pxanY2dlF5dVJBdFNNMj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0ByP0LbGCZjkxOFREMy1zTzk3Ukk" TargetMode="External"/><Relationship Id="rId13" Type="http://schemas.openxmlformats.org/officeDocument/2006/relationships/hyperlink" Target="https://drive.google.com/open?id=0ByP0LbGCZjkxN2tTTWlfdVVTZEU" TargetMode="External"/><Relationship Id="rId18" Type="http://schemas.openxmlformats.org/officeDocument/2006/relationships/hyperlink" Target="https://drive.google.com/open?id=11XL6m5pl485VJ_Iw7z1N-R5LV7u7Ujvq" TargetMode="External"/><Relationship Id="rId3" Type="http://schemas.openxmlformats.org/officeDocument/2006/relationships/hyperlink" Target="https://drive.google.com/open?id=0ByV97jmcbVlTZXpLU2h1WkdUa3M" TargetMode="External"/><Relationship Id="rId21" Type="http://schemas.openxmlformats.org/officeDocument/2006/relationships/hyperlink" Target="https://drive.google.com/open?id=1bkAyfLuHdhFN_FgeOVM8OHrxazeop7zL" TargetMode="External"/><Relationship Id="rId7" Type="http://schemas.openxmlformats.org/officeDocument/2006/relationships/hyperlink" Target="https://drive.google.com/open?id=0ByP0LbGCZjkxbHNTWlFrR0JUR2s" TargetMode="External"/><Relationship Id="rId12" Type="http://schemas.openxmlformats.org/officeDocument/2006/relationships/hyperlink" Target="https://drive.google.com/open?id=0ByP0LbGCZjkxZGl1OE5oZ2d4UHc" TargetMode="External"/><Relationship Id="rId17" Type="http://schemas.openxmlformats.org/officeDocument/2006/relationships/hyperlink" Target="https://drive.google.com/open?id=1v1C9-UsQvGV_q-maoP4o4Xss88ZnRLFg" TargetMode="External"/><Relationship Id="rId25" Type="http://schemas.openxmlformats.org/officeDocument/2006/relationships/hyperlink" Target="https://drive.google.com/open?id=1dqOP96W7LoscoAkr-VSVSAXNgEKuAa4S" TargetMode="External"/><Relationship Id="rId2" Type="http://schemas.openxmlformats.org/officeDocument/2006/relationships/hyperlink" Target="https://drive.google.com/open?id=0ByP0LbGCZjkxczZiZHZDZ0xyaVk" TargetMode="External"/><Relationship Id="rId16" Type="http://schemas.openxmlformats.org/officeDocument/2006/relationships/hyperlink" Target="https://drive.google.com/open?id=1vxdGCB6ofHjPI1b17NJF5SJqi3enAYSu" TargetMode="External"/><Relationship Id="rId20" Type="http://schemas.openxmlformats.org/officeDocument/2006/relationships/hyperlink" Target="https://drive.google.com/open?id=1oSZQQUSY9kXcxI3rjoDM9mVjBvT-ZEKy" TargetMode="External"/><Relationship Id="rId1" Type="http://schemas.openxmlformats.org/officeDocument/2006/relationships/hyperlink" Target="https://drive.google.com/open?id=0ByP0LbGCZjkxWWFrVjFESVRBYkk" TargetMode="External"/><Relationship Id="rId6" Type="http://schemas.openxmlformats.org/officeDocument/2006/relationships/hyperlink" Target="https://drive.google.com/open?id=0ByP0LbGCZjkxajltY0V0RFBxMmM" TargetMode="External"/><Relationship Id="rId11" Type="http://schemas.openxmlformats.org/officeDocument/2006/relationships/hyperlink" Target="https://drive.google.com/open?id=0ByP0LbGCZjkxQ3o4Rmh6Sm9SaWs" TargetMode="External"/><Relationship Id="rId24" Type="http://schemas.openxmlformats.org/officeDocument/2006/relationships/hyperlink" Target="https://drive.google.com/open?id=1WF8KcOMeSvBMyM7Q_W9tXcpED4y3wb8p" TargetMode="External"/><Relationship Id="rId5" Type="http://schemas.openxmlformats.org/officeDocument/2006/relationships/hyperlink" Target="https://drive.google.com/open?id=0ByV97jmcbVlTek12ZHlyRDF4M0E" TargetMode="External"/><Relationship Id="rId15" Type="http://schemas.openxmlformats.org/officeDocument/2006/relationships/hyperlink" Target="https://drive.google.com/open?id=1A15CEMnyA7hEald3ejGFl-2JBIYQqZkH" TargetMode="External"/><Relationship Id="rId23" Type="http://schemas.openxmlformats.org/officeDocument/2006/relationships/hyperlink" Target="https://drive.google.com/open?id=1DMs9oCEdIBmK38FEvi7xDLLYKs58HY_p" TargetMode="External"/><Relationship Id="rId10" Type="http://schemas.openxmlformats.org/officeDocument/2006/relationships/hyperlink" Target="https://drive.google.com/open?id=0ByP0LbGCZjkxM2F2cEVJNXNqZTA" TargetMode="External"/><Relationship Id="rId19" Type="http://schemas.openxmlformats.org/officeDocument/2006/relationships/hyperlink" Target="https://drive.google.com/open?id=19k9ViJunaewMu_paVzl3tg0OigPAvOEs" TargetMode="External"/><Relationship Id="rId4" Type="http://schemas.openxmlformats.org/officeDocument/2006/relationships/hyperlink" Target="https://drive.google.com/open?id=0ByV97jmcbVlTcjVrbHJ6OTFGbEU" TargetMode="External"/><Relationship Id="rId9" Type="http://schemas.openxmlformats.org/officeDocument/2006/relationships/hyperlink" Target="https://drive.google.com/open?id=0ByP0LbGCZjkxQWI0bWxZME92WFU" TargetMode="External"/><Relationship Id="rId14" Type="http://schemas.openxmlformats.org/officeDocument/2006/relationships/hyperlink" Target="https://drive.google.com/open?id=0ByP0LbGCZjkxc2k0blRQRG1YTXc" TargetMode="External"/><Relationship Id="rId22" Type="http://schemas.openxmlformats.org/officeDocument/2006/relationships/hyperlink" Target="https://drive.google.com/open?id=1FM5yA8U6AkCuNKib29VAC_sWaWE3PVbJ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0ByP0LbGCZjkxc2k0blRQRG1YTXc" TargetMode="External"/><Relationship Id="rId21" Type="http://schemas.openxmlformats.org/officeDocument/2006/relationships/hyperlink" Target="https://drive.google.com/open?id=0ByV97jmcbVlTT0pCNkprSXRLR3c" TargetMode="External"/><Relationship Id="rId34" Type="http://schemas.openxmlformats.org/officeDocument/2006/relationships/hyperlink" Target="https://drive.google.com/open?id=0ByP0LbGCZjkxTFBEUF9JNUxEckU" TargetMode="External"/><Relationship Id="rId42" Type="http://schemas.openxmlformats.org/officeDocument/2006/relationships/hyperlink" Target="https://drive.google.com/open?id=1I8ng2ifmYzZ-UzJusyrwerffwsoyMmnF" TargetMode="External"/><Relationship Id="rId47" Type="http://schemas.openxmlformats.org/officeDocument/2006/relationships/hyperlink" Target="https://drive.google.com/open?id=0ByP0LbGCZjkxYVRXNEMyQlY0RUU" TargetMode="External"/><Relationship Id="rId50" Type="http://schemas.openxmlformats.org/officeDocument/2006/relationships/hyperlink" Target="https://drive.google.com/open?id=0ByP0LbGCZjkxcjY5QjU4c2FQQ1U" TargetMode="External"/><Relationship Id="rId55" Type="http://schemas.openxmlformats.org/officeDocument/2006/relationships/hyperlink" Target="https://drive.google.com/open?id=0ByP0LbGCZjkxWFdvalVDcjh2QkE" TargetMode="External"/><Relationship Id="rId63" Type="http://schemas.openxmlformats.org/officeDocument/2006/relationships/hyperlink" Target="https://drive.google.com/open?id=18dMjHi5wafQSvkCECS_sBp4CxTH3ahei" TargetMode="External"/><Relationship Id="rId68" Type="http://schemas.openxmlformats.org/officeDocument/2006/relationships/hyperlink" Target="https://drive.google.com/drive/folders/1WrNWp51Jq5Uvd76zVi4T6K7OJLGwePH-?usp=share_link" TargetMode="External"/><Relationship Id="rId7" Type="http://schemas.openxmlformats.org/officeDocument/2006/relationships/hyperlink" Target="https://drive.google.com/open?id=0ByV97jmcbVlTcjVrbHJ6OTFGbEU" TargetMode="External"/><Relationship Id="rId2" Type="http://schemas.openxmlformats.org/officeDocument/2006/relationships/hyperlink" Target="https://drive.google.com/open?id=0ByP0LbGCZjkxWGRBNUlWT3NPZ0U" TargetMode="External"/><Relationship Id="rId16" Type="http://schemas.openxmlformats.org/officeDocument/2006/relationships/hyperlink" Target="https://drive.google.com/open?id=1wLQh6G_yjN8SZJF_L0hvJ9WOwolozX6I" TargetMode="External"/><Relationship Id="rId29" Type="http://schemas.openxmlformats.org/officeDocument/2006/relationships/hyperlink" Target="https://drive.google.com/open?id=111Hp9SetFf2jFyj4Ec-WW077ME-2Zwhg" TargetMode="External"/><Relationship Id="rId11" Type="http://schemas.openxmlformats.org/officeDocument/2006/relationships/hyperlink" Target="https://drive.google.com/open?id=0ByP0LbGCZjkxZGl1OE5oZ2d4UHc" TargetMode="External"/><Relationship Id="rId24" Type="http://schemas.openxmlformats.org/officeDocument/2006/relationships/hyperlink" Target="https://drive.google.com/open?id=0ByP0LbGCZjkxQ3o4Rmh6Sm9SaWs" TargetMode="External"/><Relationship Id="rId32" Type="http://schemas.openxmlformats.org/officeDocument/2006/relationships/hyperlink" Target="https://drive.google.com/open?id=0ByP0LbGCZjkxUlBIRG1fT19zZjFja0dnRmFKaDd6c01OdWVV" TargetMode="External"/><Relationship Id="rId37" Type="http://schemas.openxmlformats.org/officeDocument/2006/relationships/hyperlink" Target="https://drive.google.com/open?id=0ByP0LbGCZjkxMjJYU1J4Y3I0dzg" TargetMode="External"/><Relationship Id="rId40" Type="http://schemas.openxmlformats.org/officeDocument/2006/relationships/hyperlink" Target="https://drive.google.com/open?id=0ByP0LbGCZjkxX3BUU210Ni1lMFo4QVd4VkVDYmp4NGJjUEFr" TargetMode="External"/><Relationship Id="rId45" Type="http://schemas.openxmlformats.org/officeDocument/2006/relationships/hyperlink" Target="https://drive.google.com/open?id=0ByP0LbGCZjkxRFRQMmJCSmxfY28" TargetMode="External"/><Relationship Id="rId53" Type="http://schemas.openxmlformats.org/officeDocument/2006/relationships/hyperlink" Target="https://drive.google.com/open?id=0ByP0LbGCZjkxM2lyZVZlTV96R28" TargetMode="External"/><Relationship Id="rId58" Type="http://schemas.openxmlformats.org/officeDocument/2006/relationships/hyperlink" Target="https://drive.google.com/open?id=0ByP0LbGCZjkxSDNIWGFGWlpCeTQ" TargetMode="External"/><Relationship Id="rId66" Type="http://schemas.openxmlformats.org/officeDocument/2006/relationships/hyperlink" Target="https://drive.google.com/drive/folders/1WrNWp51Jq5Uvd76zVi4T6K7OJLGwePH-?usp=share_link" TargetMode="External"/><Relationship Id="rId5" Type="http://schemas.openxmlformats.org/officeDocument/2006/relationships/hyperlink" Target="https://drive.google.com/open?id=0ByP0LbGCZjkxejl2R2owc1BpOU0" TargetMode="External"/><Relationship Id="rId61" Type="http://schemas.openxmlformats.org/officeDocument/2006/relationships/hyperlink" Target="https://drive.google.com/open?id=0ByP0LbGCZjkxYmhraUt4bjh0aFk" TargetMode="External"/><Relationship Id="rId19" Type="http://schemas.openxmlformats.org/officeDocument/2006/relationships/hyperlink" Target="https://drive.google.com/open?id=0ByP0LbGCZjkxdzVGS0hnWFpaUGs" TargetMode="External"/><Relationship Id="rId14" Type="http://schemas.openxmlformats.org/officeDocument/2006/relationships/hyperlink" Target="https://drive.google.com/open?id=0ByP0LbGCZjkxQWI0bWxZME92WFU" TargetMode="External"/><Relationship Id="rId22" Type="http://schemas.openxmlformats.org/officeDocument/2006/relationships/hyperlink" Target="https://drive.google.com/open?id=0ByP0LbGCZjkxRmZSYUxnQldmMnc" TargetMode="External"/><Relationship Id="rId27" Type="http://schemas.openxmlformats.org/officeDocument/2006/relationships/hyperlink" Target="https://drive.google.com/open?id=0ByP0LbGCZjkxN2tTTWlfdVVTZEU" TargetMode="External"/><Relationship Id="rId30" Type="http://schemas.openxmlformats.org/officeDocument/2006/relationships/hyperlink" Target="https://drive.google.com/open?id=0ByP0LbGCZjkxWmZsbGtmQkJDNWs" TargetMode="External"/><Relationship Id="rId35" Type="http://schemas.openxmlformats.org/officeDocument/2006/relationships/hyperlink" Target="https://drive.google.com/open?id=0ByP0LbGCZjkxZHF3bUtPRHpXTE0" TargetMode="External"/><Relationship Id="rId43" Type="http://schemas.openxmlformats.org/officeDocument/2006/relationships/hyperlink" Target="https://drive.google.com/open?id=0ByP0LbGCZjkxUXFFZHMzbUtaMFk" TargetMode="External"/><Relationship Id="rId48" Type="http://schemas.openxmlformats.org/officeDocument/2006/relationships/hyperlink" Target="https://drive.google.com/open?id=0ByP0LbGCZjkxSGhZZXdWMU5VNTg" TargetMode="External"/><Relationship Id="rId56" Type="http://schemas.openxmlformats.org/officeDocument/2006/relationships/hyperlink" Target="https://drive.google.com/open?id=0ByP0LbGCZjkxUWNQXzQzWEVfMG8" TargetMode="External"/><Relationship Id="rId64" Type="http://schemas.openxmlformats.org/officeDocument/2006/relationships/hyperlink" Target="https://drive.google.com/open?id=1xmk9jJKClXBCfe3SmQluFYnGQmALhr79" TargetMode="External"/><Relationship Id="rId8" Type="http://schemas.openxmlformats.org/officeDocument/2006/relationships/hyperlink" Target="https://drive.google.com/open?id=1DMs9oCEdIBmK38FEvi7xDLLYKs58HY_p" TargetMode="External"/><Relationship Id="rId51" Type="http://schemas.openxmlformats.org/officeDocument/2006/relationships/hyperlink" Target="https://drive.google.com/open?id=0ByP0LbGCZjkxbXJ3THZiaW1FZGc" TargetMode="External"/><Relationship Id="rId3" Type="http://schemas.openxmlformats.org/officeDocument/2006/relationships/hyperlink" Target="https://drive.google.com/open?id=0ByP0LbGCZjkxd1hBc2FqVFB0U1E" TargetMode="External"/><Relationship Id="rId12" Type="http://schemas.openxmlformats.org/officeDocument/2006/relationships/hyperlink" Target="https://drive.google.com/open?id=0ByP0LbGCZjkxOFREMy1zTzk3Ukk" TargetMode="External"/><Relationship Id="rId17" Type="http://schemas.openxmlformats.org/officeDocument/2006/relationships/hyperlink" Target="https://drive.google.com/open?id=1g7Auqo6MB0IeTAlOx6d3ie-gIF-6aEtj" TargetMode="External"/><Relationship Id="rId25" Type="http://schemas.openxmlformats.org/officeDocument/2006/relationships/hyperlink" Target="https://drive.google.com/open?id=1dqOP96W7LoscoAkr-VSVSAXNgEKuAa4S" TargetMode="External"/><Relationship Id="rId33" Type="http://schemas.openxmlformats.org/officeDocument/2006/relationships/hyperlink" Target="https://drive.google.com/open?id=0ByP0LbGCZjkxUmpoWFpIX2l2cTg" TargetMode="External"/><Relationship Id="rId38" Type="http://schemas.openxmlformats.org/officeDocument/2006/relationships/hyperlink" Target="https://drive.google.com/open?id=0ByP0LbGCZjkxX2c1djVfeS1Uenc" TargetMode="External"/><Relationship Id="rId46" Type="http://schemas.openxmlformats.org/officeDocument/2006/relationships/hyperlink" Target="https://drive.google.com/open?id=0ByP0LbGCZjkxb1NCOGpDRjBqd0k" TargetMode="External"/><Relationship Id="rId59" Type="http://schemas.openxmlformats.org/officeDocument/2006/relationships/hyperlink" Target="https://drive.google.com/open?id=0ByP0LbGCZjkxU1YwbHBnNGVDb0k" TargetMode="External"/><Relationship Id="rId67" Type="http://schemas.openxmlformats.org/officeDocument/2006/relationships/hyperlink" Target="https://drive.google.com/drive/folders/1WrNWp51Jq5Uvd76zVi4T6K7OJLGwePH-?usp=share_link" TargetMode="External"/><Relationship Id="rId20" Type="http://schemas.openxmlformats.org/officeDocument/2006/relationships/hyperlink" Target="https://drive.google.com/open?id=0ByP0LbGCZjkxcmJUbG9GVG9UeEk" TargetMode="External"/><Relationship Id="rId41" Type="http://schemas.openxmlformats.org/officeDocument/2006/relationships/hyperlink" Target="https://drive.google.com/open?id=0ByP0LbGCZjkxWV84Y3h3bmM3RlQxVzNSNmVySjlRQUpIYS1r" TargetMode="External"/><Relationship Id="rId54" Type="http://schemas.openxmlformats.org/officeDocument/2006/relationships/hyperlink" Target="https://drive.google.com/open?id=0ByP0LbGCZjkxSVlZdVJVbnMzZjA" TargetMode="External"/><Relationship Id="rId62" Type="http://schemas.openxmlformats.org/officeDocument/2006/relationships/hyperlink" Target="https://drive.google.com/open?id=0ByP0LbGCZjkxNFFMZXVUaVBsbE0" TargetMode="External"/><Relationship Id="rId1" Type="http://schemas.openxmlformats.org/officeDocument/2006/relationships/hyperlink" Target="https://drive.google.com/open?id=0ByP0LbGCZjkxOHFMZXpISV9VVW8" TargetMode="External"/><Relationship Id="rId6" Type="http://schemas.openxmlformats.org/officeDocument/2006/relationships/hyperlink" Target="https://drive.google.com/open?id=0ByV97jmcbVlTZXpLU2h1WkdUa3M" TargetMode="External"/><Relationship Id="rId15" Type="http://schemas.openxmlformats.org/officeDocument/2006/relationships/hyperlink" Target="https://drive.google.com/open?id=1WF8KcOMeSvBMyM7Q_W9tXcpED4y3wb8p" TargetMode="External"/><Relationship Id="rId23" Type="http://schemas.openxmlformats.org/officeDocument/2006/relationships/hyperlink" Target="https://drive.google.com/open?id=0ByP0LbGCZjkxdFpraG9jeC00Mms" TargetMode="External"/><Relationship Id="rId28" Type="http://schemas.openxmlformats.org/officeDocument/2006/relationships/hyperlink" Target="https://drive.google.com/open?id=1rOz5v4RhPe64XgAfTngy-amMZvaqmtNo" TargetMode="External"/><Relationship Id="rId36" Type="http://schemas.openxmlformats.org/officeDocument/2006/relationships/hyperlink" Target="https://drive.google.com/open?id=0ByP0LbGCZjkxb010bTlRLUJheWM" TargetMode="External"/><Relationship Id="rId49" Type="http://schemas.openxmlformats.org/officeDocument/2006/relationships/hyperlink" Target="https://drive.google.com/open?id=0ByP0LbGCZjkxM2ExRjhLeEQwMVE" TargetMode="External"/><Relationship Id="rId57" Type="http://schemas.openxmlformats.org/officeDocument/2006/relationships/hyperlink" Target="https://drive.google.com/open?id=0ByP0LbGCZjkxTGp6OElBUVYwSFU" TargetMode="External"/><Relationship Id="rId10" Type="http://schemas.openxmlformats.org/officeDocument/2006/relationships/hyperlink" Target="https://drive.google.com/open?id=11XL6m5pl485VJ_Iw7z1N-R5LV7u7Ujvq" TargetMode="External"/><Relationship Id="rId31" Type="http://schemas.openxmlformats.org/officeDocument/2006/relationships/hyperlink" Target="https://drive.google.com/open?id=0ByP0LbGCZjkxSkVmRW9VbXJYZms" TargetMode="External"/><Relationship Id="rId44" Type="http://schemas.openxmlformats.org/officeDocument/2006/relationships/hyperlink" Target="https://drive.google.com/open?id=0ByP0LbGCZjkxbXI0ZWlRQzhaQ3BiNE4wVkJDOHRIQWtoYnFZ" TargetMode="External"/><Relationship Id="rId52" Type="http://schemas.openxmlformats.org/officeDocument/2006/relationships/hyperlink" Target="https://drive.google.com/open?id=0ByP0LbGCZjkxVnl6bDY1eVpJSms" TargetMode="External"/><Relationship Id="rId60" Type="http://schemas.openxmlformats.org/officeDocument/2006/relationships/hyperlink" Target="https://drive.google.com/open?id=0ByP0LbGCZjkxQUhfc0tJa2dXZ1k" TargetMode="External"/><Relationship Id="rId65" Type="http://schemas.openxmlformats.org/officeDocument/2006/relationships/hyperlink" Target="https://drive.google.com/open?id=1z7dEPna879lXIvHgZj6YvWDsGI4zPIah" TargetMode="External"/><Relationship Id="rId4" Type="http://schemas.openxmlformats.org/officeDocument/2006/relationships/hyperlink" Target="https://drive.google.com/open?id=0ByP0LbGCZjkxUlJBOTBYajZvamM" TargetMode="External"/><Relationship Id="rId9" Type="http://schemas.openxmlformats.org/officeDocument/2006/relationships/hyperlink" Target="https://drive.google.com/open?id=0ByV97jmcbVlTek12ZHlyRDF4M0E" TargetMode="External"/><Relationship Id="rId13" Type="http://schemas.openxmlformats.org/officeDocument/2006/relationships/hyperlink" Target="https://drive.google.com/open?id=19k9ViJunaewMu_paVzl3tg0OigPAvOEs" TargetMode="External"/><Relationship Id="rId18" Type="http://schemas.openxmlformats.org/officeDocument/2006/relationships/hyperlink" Target="https://drive.google.com/open?id=0ByP0LbGCZjkxVVAyNnpNM2JRUVE" TargetMode="External"/><Relationship Id="rId39" Type="http://schemas.openxmlformats.org/officeDocument/2006/relationships/hyperlink" Target="https://drive.google.com/open?id=0ByP0LbGCZjkxMmtTLXFSRkpGbU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101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640625" defaultRowHeight="15.75" customHeight="1"/>
  <cols>
    <col min="1" max="1" width="11" customWidth="1"/>
    <col min="2" max="2" width="15.6640625" customWidth="1"/>
    <col min="3" max="3" width="12.83203125" customWidth="1"/>
    <col min="4" max="4" width="10.6640625" customWidth="1"/>
    <col min="5" max="5" width="16.1640625" customWidth="1"/>
    <col min="6" max="6" width="11.1640625" customWidth="1"/>
    <col min="7" max="7" width="23" customWidth="1"/>
    <col min="8" max="8" width="14.5" customWidth="1"/>
    <col min="9" max="9" width="22" customWidth="1"/>
    <col min="10" max="10" width="21.83203125" customWidth="1"/>
    <col min="13" max="13" width="16.6640625" customWidth="1"/>
    <col min="14" max="14" width="23.1640625" customWidth="1"/>
  </cols>
  <sheetData>
    <row r="1" spans="1:30" ht="1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30" ht="13">
      <c r="A2" s="5"/>
      <c r="B2" s="6">
        <v>4897721918</v>
      </c>
      <c r="C2" s="5" t="s">
        <v>15</v>
      </c>
      <c r="D2" s="5" t="s">
        <v>16</v>
      </c>
      <c r="E2" s="5">
        <v>1</v>
      </c>
      <c r="F2" s="5" t="s">
        <v>17</v>
      </c>
      <c r="G2" s="5" t="s">
        <v>18</v>
      </c>
      <c r="H2" s="5" t="s">
        <v>19</v>
      </c>
      <c r="I2" s="5" t="s">
        <v>20</v>
      </c>
      <c r="J2" s="7" t="s">
        <v>21</v>
      </c>
      <c r="K2" s="8">
        <v>42947</v>
      </c>
      <c r="L2" s="5" t="s">
        <v>22</v>
      </c>
      <c r="M2" s="8">
        <v>45406</v>
      </c>
      <c r="N2" s="5"/>
      <c r="O2" s="5" t="s">
        <v>23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3">
      <c r="A3" s="5"/>
      <c r="B3" s="6">
        <v>8529466430</v>
      </c>
      <c r="C3" s="5" t="s">
        <v>24</v>
      </c>
      <c r="D3" s="5" t="s">
        <v>25</v>
      </c>
      <c r="E3" s="5">
        <v>1</v>
      </c>
      <c r="F3" s="5" t="s">
        <v>26</v>
      </c>
      <c r="G3" s="5" t="s">
        <v>18</v>
      </c>
      <c r="H3" s="5" t="s">
        <v>19</v>
      </c>
      <c r="I3" s="5" t="s">
        <v>20</v>
      </c>
      <c r="J3" s="7" t="s">
        <v>27</v>
      </c>
      <c r="K3" s="5"/>
      <c r="L3" s="5" t="s">
        <v>22</v>
      </c>
      <c r="M3" s="8">
        <v>45406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7.25" customHeight="1">
      <c r="A4" s="5"/>
      <c r="B4" s="6">
        <v>9130354238</v>
      </c>
      <c r="C4" s="5" t="s">
        <v>28</v>
      </c>
      <c r="D4" s="5" t="s">
        <v>29</v>
      </c>
      <c r="E4" s="5">
        <v>1</v>
      </c>
      <c r="F4" s="5" t="s">
        <v>30</v>
      </c>
      <c r="G4" s="5" t="s">
        <v>18</v>
      </c>
      <c r="H4" s="5" t="s">
        <v>19</v>
      </c>
      <c r="I4" s="5" t="s">
        <v>20</v>
      </c>
      <c r="J4" s="7" t="s">
        <v>31</v>
      </c>
      <c r="K4" s="8">
        <v>42947</v>
      </c>
      <c r="L4" s="5" t="s">
        <v>22</v>
      </c>
      <c r="M4" s="8">
        <v>45406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3">
      <c r="A5" s="5"/>
      <c r="B5" s="6">
        <v>21590160446</v>
      </c>
      <c r="C5" s="5" t="s">
        <v>32</v>
      </c>
      <c r="D5" s="5" t="s">
        <v>33</v>
      </c>
      <c r="E5" s="5">
        <v>1</v>
      </c>
      <c r="F5" s="5" t="s">
        <v>34</v>
      </c>
      <c r="G5" s="5" t="s">
        <v>18</v>
      </c>
      <c r="H5" s="5" t="s">
        <v>19</v>
      </c>
      <c r="I5" s="5" t="s">
        <v>20</v>
      </c>
      <c r="J5" s="7" t="s">
        <v>35</v>
      </c>
      <c r="K5" s="5"/>
      <c r="L5" s="5" t="s">
        <v>22</v>
      </c>
      <c r="M5" s="8">
        <v>45406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3">
      <c r="A6" s="5"/>
      <c r="B6" s="6">
        <v>34949459342</v>
      </c>
      <c r="C6" s="5" t="s">
        <v>36</v>
      </c>
      <c r="D6" s="5" t="s">
        <v>37</v>
      </c>
      <c r="E6" s="5">
        <v>1</v>
      </c>
      <c r="F6" s="5" t="s">
        <v>38</v>
      </c>
      <c r="G6" s="5" t="s">
        <v>18</v>
      </c>
      <c r="H6" s="5" t="s">
        <v>39</v>
      </c>
      <c r="I6" s="5" t="s">
        <v>20</v>
      </c>
      <c r="J6" s="7" t="s">
        <v>40</v>
      </c>
      <c r="K6" s="8">
        <v>42947</v>
      </c>
      <c r="L6" s="5" t="s">
        <v>22</v>
      </c>
      <c r="M6" s="8">
        <v>45406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3">
      <c r="A7" s="5"/>
      <c r="B7" s="6">
        <v>2479074878</v>
      </c>
      <c r="C7" s="5" t="s">
        <v>41</v>
      </c>
      <c r="D7" s="5" t="s">
        <v>42</v>
      </c>
      <c r="E7" s="5">
        <v>2</v>
      </c>
      <c r="F7" s="5" t="s">
        <v>43</v>
      </c>
      <c r="G7" s="5" t="s">
        <v>18</v>
      </c>
      <c r="H7" s="5" t="s">
        <v>19</v>
      </c>
      <c r="I7" s="5" t="s">
        <v>44</v>
      </c>
      <c r="J7" s="7" t="s">
        <v>45</v>
      </c>
      <c r="K7" s="8">
        <v>42947</v>
      </c>
      <c r="L7" s="5" t="s">
        <v>22</v>
      </c>
      <c r="M7" s="8">
        <v>45406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">
      <c r="A8" s="5"/>
      <c r="B8" s="6">
        <v>13423452734</v>
      </c>
      <c r="C8" s="5" t="s">
        <v>46</v>
      </c>
      <c r="D8" s="5" t="s">
        <v>47</v>
      </c>
      <c r="E8" s="5">
        <v>2</v>
      </c>
      <c r="F8" s="5" t="s">
        <v>48</v>
      </c>
      <c r="G8" s="5" t="s">
        <v>18</v>
      </c>
      <c r="H8" s="5" t="s">
        <v>19</v>
      </c>
      <c r="I8" s="5" t="s">
        <v>44</v>
      </c>
      <c r="J8" s="7" t="s">
        <v>49</v>
      </c>
      <c r="K8" s="8">
        <v>42947</v>
      </c>
      <c r="L8" s="5" t="s">
        <v>22</v>
      </c>
      <c r="M8" s="8">
        <v>45406</v>
      </c>
      <c r="N8" s="5"/>
      <c r="O8" s="5" t="s">
        <v>50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3">
      <c r="A9" s="5"/>
      <c r="B9" s="6">
        <v>17860437038</v>
      </c>
      <c r="C9" s="5" t="s">
        <v>51</v>
      </c>
      <c r="D9" s="5" t="s">
        <v>52</v>
      </c>
      <c r="E9" s="5">
        <v>2</v>
      </c>
      <c r="F9" s="5" t="s">
        <v>53</v>
      </c>
      <c r="G9" s="5" t="s">
        <v>18</v>
      </c>
      <c r="H9" s="5" t="s">
        <v>19</v>
      </c>
      <c r="I9" s="5" t="s">
        <v>44</v>
      </c>
      <c r="J9" s="7" t="s">
        <v>54</v>
      </c>
      <c r="K9" s="5"/>
      <c r="L9" s="5" t="s">
        <v>22</v>
      </c>
      <c r="M9" s="8">
        <v>45406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3">
      <c r="A10" s="5"/>
      <c r="B10" s="6">
        <v>26544612926</v>
      </c>
      <c r="C10" s="5" t="s">
        <v>55</v>
      </c>
      <c r="D10" s="5" t="s">
        <v>56</v>
      </c>
      <c r="E10" s="5">
        <v>2</v>
      </c>
      <c r="F10" s="5" t="s">
        <v>57</v>
      </c>
      <c r="G10" s="5" t="s">
        <v>18</v>
      </c>
      <c r="H10" s="5" t="s">
        <v>19</v>
      </c>
      <c r="I10" s="5" t="s">
        <v>44</v>
      </c>
      <c r="J10" s="7" t="s">
        <v>58</v>
      </c>
      <c r="K10" s="8">
        <v>42947</v>
      </c>
      <c r="L10" s="5" t="s">
        <v>22</v>
      </c>
      <c r="M10" s="8">
        <v>45406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5" customHeight="1">
      <c r="A11" s="5"/>
      <c r="B11" s="6">
        <v>34992066854</v>
      </c>
      <c r="C11" s="5" t="s">
        <v>59</v>
      </c>
      <c r="D11" s="5" t="s">
        <v>60</v>
      </c>
      <c r="E11" s="5">
        <v>2</v>
      </c>
      <c r="F11" s="5" t="s">
        <v>61</v>
      </c>
      <c r="G11" s="5" t="s">
        <v>18</v>
      </c>
      <c r="H11" s="5"/>
      <c r="I11" s="5" t="s">
        <v>44</v>
      </c>
      <c r="J11" s="7" t="s">
        <v>62</v>
      </c>
      <c r="K11" s="8">
        <v>43296</v>
      </c>
      <c r="L11" s="5" t="s">
        <v>22</v>
      </c>
      <c r="M11" s="8">
        <v>45406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">
      <c r="A12" s="5"/>
      <c r="B12" s="6">
        <v>15059813438</v>
      </c>
      <c r="C12" s="5" t="s">
        <v>63</v>
      </c>
      <c r="D12" s="5" t="s">
        <v>64</v>
      </c>
      <c r="E12" s="5">
        <v>3</v>
      </c>
      <c r="F12" s="5" t="s">
        <v>65</v>
      </c>
      <c r="G12" s="5" t="s">
        <v>18</v>
      </c>
      <c r="H12" s="5" t="s">
        <v>19</v>
      </c>
      <c r="I12" s="5" t="s">
        <v>20</v>
      </c>
      <c r="J12" s="7" t="s">
        <v>66</v>
      </c>
      <c r="K12" s="5"/>
      <c r="L12" s="5" t="s">
        <v>22</v>
      </c>
      <c r="M12" s="8">
        <v>45406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">
      <c r="A13" s="5"/>
      <c r="B13" s="6">
        <v>30353982014</v>
      </c>
      <c r="C13" s="5" t="s">
        <v>67</v>
      </c>
      <c r="D13" s="5" t="s">
        <v>68</v>
      </c>
      <c r="E13" s="5">
        <v>3</v>
      </c>
      <c r="F13" s="5" t="s">
        <v>69</v>
      </c>
      <c r="G13" s="5" t="s">
        <v>18</v>
      </c>
      <c r="H13" s="5" t="s">
        <v>19</v>
      </c>
      <c r="I13" s="5" t="s">
        <v>20</v>
      </c>
      <c r="J13" s="7" t="s">
        <v>70</v>
      </c>
      <c r="K13" s="8">
        <v>42947</v>
      </c>
      <c r="L13" s="5" t="s">
        <v>22</v>
      </c>
      <c r="M13" s="8">
        <v>45406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3">
      <c r="A14" s="5"/>
      <c r="B14" s="6">
        <v>37146431054</v>
      </c>
      <c r="C14" s="5" t="s">
        <v>71</v>
      </c>
      <c r="D14" s="5" t="s">
        <v>72</v>
      </c>
      <c r="E14" s="5">
        <v>3</v>
      </c>
      <c r="F14" s="5" t="s">
        <v>73</v>
      </c>
      <c r="G14" s="5" t="s">
        <v>18</v>
      </c>
      <c r="H14" s="5" t="s">
        <v>74</v>
      </c>
      <c r="I14" s="5" t="s">
        <v>20</v>
      </c>
      <c r="J14" s="9" t="s">
        <v>75</v>
      </c>
      <c r="K14" s="8">
        <v>43320</v>
      </c>
      <c r="L14" s="5" t="s">
        <v>22</v>
      </c>
      <c r="M14" s="8">
        <v>45406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ht="13">
      <c r="A15" s="5"/>
      <c r="B15" s="6">
        <v>41522413862</v>
      </c>
      <c r="C15" s="5" t="s">
        <v>76</v>
      </c>
      <c r="D15" s="5" t="s">
        <v>77</v>
      </c>
      <c r="E15" s="5">
        <v>3</v>
      </c>
      <c r="F15" s="5" t="s">
        <v>78</v>
      </c>
      <c r="G15" s="5" t="s">
        <v>18</v>
      </c>
      <c r="H15" s="5"/>
      <c r="I15" s="5" t="s">
        <v>20</v>
      </c>
      <c r="J15" s="7" t="s">
        <v>79</v>
      </c>
      <c r="K15" s="8">
        <v>43296</v>
      </c>
      <c r="L15" s="5" t="s">
        <v>22</v>
      </c>
      <c r="M15" s="8">
        <v>45406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3">
      <c r="A16" s="5"/>
      <c r="B16" s="6">
        <v>5605505318</v>
      </c>
      <c r="C16" s="5" t="s">
        <v>80</v>
      </c>
      <c r="D16" s="5" t="s">
        <v>81</v>
      </c>
      <c r="E16" s="5">
        <v>3</v>
      </c>
      <c r="F16" s="5" t="s">
        <v>82</v>
      </c>
      <c r="G16" s="5" t="s">
        <v>18</v>
      </c>
      <c r="H16" s="5"/>
      <c r="I16" s="5" t="s">
        <v>20</v>
      </c>
      <c r="J16" s="7" t="s">
        <v>83</v>
      </c>
      <c r="K16" s="8">
        <v>43296</v>
      </c>
      <c r="L16" s="5" t="s">
        <v>22</v>
      </c>
      <c r="M16" s="8">
        <v>45406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5" customHeight="1">
      <c r="A17" s="5"/>
      <c r="B17" s="6">
        <v>2400797990</v>
      </c>
      <c r="C17" s="5" t="s">
        <v>84</v>
      </c>
      <c r="D17" s="5" t="s">
        <v>85</v>
      </c>
      <c r="E17" s="5">
        <v>4</v>
      </c>
      <c r="F17" s="5" t="s">
        <v>86</v>
      </c>
      <c r="G17" s="5" t="s">
        <v>18</v>
      </c>
      <c r="H17" s="5"/>
      <c r="I17" s="5" t="s">
        <v>20</v>
      </c>
      <c r="J17" s="7" t="s">
        <v>87</v>
      </c>
      <c r="K17" s="8">
        <v>43296</v>
      </c>
      <c r="L17" s="5" t="s">
        <v>22</v>
      </c>
      <c r="M17" s="8">
        <v>43874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13">
      <c r="A18" s="5"/>
      <c r="B18" s="6">
        <v>2600007320</v>
      </c>
      <c r="C18" s="5" t="s">
        <v>88</v>
      </c>
      <c r="D18" s="5" t="s">
        <v>89</v>
      </c>
      <c r="E18" s="5">
        <v>4</v>
      </c>
      <c r="F18" s="5" t="s">
        <v>90</v>
      </c>
      <c r="G18" s="5" t="s">
        <v>18</v>
      </c>
      <c r="H18" s="5" t="s">
        <v>19</v>
      </c>
      <c r="I18" s="5" t="s">
        <v>20</v>
      </c>
      <c r="J18" s="11" t="s">
        <v>91</v>
      </c>
      <c r="K18" s="8">
        <v>42947</v>
      </c>
      <c r="L18" s="5" t="s">
        <v>22</v>
      </c>
      <c r="M18" s="8">
        <v>43874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13">
      <c r="A19" s="5"/>
      <c r="B19" s="6">
        <v>16083964478</v>
      </c>
      <c r="C19" s="5" t="s">
        <v>92</v>
      </c>
      <c r="D19" s="5" t="s">
        <v>93</v>
      </c>
      <c r="E19" s="5">
        <v>4</v>
      </c>
      <c r="F19" s="5" t="s">
        <v>94</v>
      </c>
      <c r="G19" s="5" t="s">
        <v>18</v>
      </c>
      <c r="H19" s="5" t="s">
        <v>19</v>
      </c>
      <c r="I19" s="5" t="s">
        <v>20</v>
      </c>
      <c r="J19" s="7" t="s">
        <v>95</v>
      </c>
      <c r="K19" s="8">
        <v>42947</v>
      </c>
      <c r="L19" s="5" t="s">
        <v>22</v>
      </c>
      <c r="M19" s="8">
        <v>45406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3">
      <c r="A20" s="5"/>
      <c r="B20" s="6">
        <v>19534310462</v>
      </c>
      <c r="C20" s="5" t="s">
        <v>96</v>
      </c>
      <c r="D20" s="5" t="s">
        <v>97</v>
      </c>
      <c r="E20" s="5">
        <v>4</v>
      </c>
      <c r="F20" s="5" t="s">
        <v>98</v>
      </c>
      <c r="G20" s="5" t="s">
        <v>18</v>
      </c>
      <c r="H20" s="5" t="s">
        <v>19</v>
      </c>
      <c r="I20" s="5" t="s">
        <v>20</v>
      </c>
      <c r="J20" s="11" t="s">
        <v>99</v>
      </c>
      <c r="K20" s="5"/>
      <c r="L20" s="5" t="s">
        <v>22</v>
      </c>
      <c r="M20" s="8">
        <v>45406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>
      <c r="A21" s="5"/>
      <c r="B21" s="6">
        <v>26262519734</v>
      </c>
      <c r="C21" s="5" t="s">
        <v>100</v>
      </c>
      <c r="D21" s="5" t="s">
        <v>101</v>
      </c>
      <c r="E21" s="5">
        <v>4</v>
      </c>
      <c r="F21" s="5" t="s">
        <v>102</v>
      </c>
      <c r="G21" s="5" t="s">
        <v>18</v>
      </c>
      <c r="H21" s="5" t="s">
        <v>74</v>
      </c>
      <c r="I21" s="5" t="s">
        <v>20</v>
      </c>
      <c r="J21" s="12" t="s">
        <v>103</v>
      </c>
      <c r="K21" s="8">
        <v>43320</v>
      </c>
      <c r="L21" s="5" t="s">
        <v>22</v>
      </c>
      <c r="M21" s="8">
        <v>45406</v>
      </c>
      <c r="N21" s="10"/>
      <c r="O21" s="10" t="s">
        <v>104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3">
      <c r="A22" s="5"/>
      <c r="B22" s="6">
        <v>2843599502</v>
      </c>
      <c r="C22" s="5" t="s">
        <v>105</v>
      </c>
      <c r="D22" s="5" t="s">
        <v>106</v>
      </c>
      <c r="E22" s="5">
        <v>5</v>
      </c>
      <c r="F22" s="5" t="s">
        <v>107</v>
      </c>
      <c r="G22" s="5" t="s">
        <v>18</v>
      </c>
      <c r="H22" s="5" t="s">
        <v>19</v>
      </c>
      <c r="I22" s="5" t="s">
        <v>44</v>
      </c>
      <c r="J22" s="7" t="s">
        <v>108</v>
      </c>
      <c r="K22" s="8">
        <v>42947</v>
      </c>
      <c r="L22" s="5" t="s">
        <v>22</v>
      </c>
      <c r="M22" s="8">
        <v>45406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>
      <c r="A23" s="5"/>
      <c r="B23" s="6">
        <v>2915856974</v>
      </c>
      <c r="C23" s="5" t="s">
        <v>109</v>
      </c>
      <c r="D23" s="5" t="s">
        <v>110</v>
      </c>
      <c r="E23" s="5">
        <v>5</v>
      </c>
      <c r="F23" s="5" t="s">
        <v>111</v>
      </c>
      <c r="G23" s="5" t="s">
        <v>18</v>
      </c>
      <c r="H23" s="5" t="s">
        <v>74</v>
      </c>
      <c r="I23" s="5" t="s">
        <v>44</v>
      </c>
      <c r="J23" s="9" t="s">
        <v>112</v>
      </c>
      <c r="K23" s="8">
        <v>43320</v>
      </c>
      <c r="L23" s="5" t="s">
        <v>22</v>
      </c>
      <c r="M23" s="8">
        <v>45406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3">
      <c r="A24" s="5"/>
      <c r="B24" s="6">
        <v>4353526334</v>
      </c>
      <c r="C24" s="5" t="s">
        <v>113</v>
      </c>
      <c r="D24" s="5" t="s">
        <v>114</v>
      </c>
      <c r="E24" s="5">
        <v>5</v>
      </c>
      <c r="F24" s="5" t="s">
        <v>115</v>
      </c>
      <c r="G24" s="5" t="s">
        <v>18</v>
      </c>
      <c r="H24" s="5" t="s">
        <v>19</v>
      </c>
      <c r="I24" s="5" t="s">
        <v>44</v>
      </c>
      <c r="J24" s="7" t="s">
        <v>116</v>
      </c>
      <c r="K24" s="8">
        <v>42947</v>
      </c>
      <c r="L24" s="5" t="s">
        <v>22</v>
      </c>
      <c r="M24" s="8">
        <v>45406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>
      <c r="A25" s="5"/>
      <c r="B25" s="6">
        <v>8589932606</v>
      </c>
      <c r="C25" s="5" t="s">
        <v>117</v>
      </c>
      <c r="D25" s="5" t="s">
        <v>118</v>
      </c>
      <c r="E25" s="5">
        <v>5</v>
      </c>
      <c r="F25" s="5" t="s">
        <v>119</v>
      </c>
      <c r="G25" s="5" t="s">
        <v>18</v>
      </c>
      <c r="H25" s="5" t="s">
        <v>19</v>
      </c>
      <c r="I25" s="5" t="s">
        <v>44</v>
      </c>
      <c r="J25" s="7" t="s">
        <v>120</v>
      </c>
      <c r="K25" s="5"/>
      <c r="L25" s="5" t="s">
        <v>22</v>
      </c>
      <c r="M25" s="8">
        <v>45406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>
      <c r="A26" s="5"/>
      <c r="B26" s="6">
        <v>24085737038</v>
      </c>
      <c r="C26" s="5" t="s">
        <v>121</v>
      </c>
      <c r="D26" s="5" t="s">
        <v>122</v>
      </c>
      <c r="E26" s="5">
        <v>5</v>
      </c>
      <c r="F26" s="5" t="s">
        <v>123</v>
      </c>
      <c r="G26" s="5" t="s">
        <v>18</v>
      </c>
      <c r="H26" s="5" t="s">
        <v>74</v>
      </c>
      <c r="I26" s="5" t="s">
        <v>44</v>
      </c>
      <c r="J26" s="9" t="s">
        <v>124</v>
      </c>
      <c r="K26" s="8">
        <v>43320</v>
      </c>
      <c r="L26" s="5" t="s">
        <v>22</v>
      </c>
      <c r="M26" s="8">
        <v>45406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3">
      <c r="B27" s="13" t="s">
        <v>125</v>
      </c>
      <c r="C27" s="13" t="s">
        <v>125</v>
      </c>
      <c r="D27" s="13" t="s">
        <v>126</v>
      </c>
      <c r="E27" s="13">
        <v>6</v>
      </c>
      <c r="F27" s="13" t="s">
        <v>126</v>
      </c>
      <c r="G27" s="13" t="s">
        <v>127</v>
      </c>
      <c r="I27" s="5" t="s">
        <v>44</v>
      </c>
      <c r="J27" s="13"/>
    </row>
    <row r="28" spans="1:30" ht="13">
      <c r="B28" s="13" t="s">
        <v>128</v>
      </c>
      <c r="C28" s="13" t="s">
        <v>128</v>
      </c>
      <c r="D28" s="13" t="s">
        <v>86</v>
      </c>
      <c r="E28" s="13">
        <v>6</v>
      </c>
      <c r="F28" s="13" t="s">
        <v>86</v>
      </c>
      <c r="G28" s="13" t="s">
        <v>127</v>
      </c>
      <c r="I28" s="5" t="s">
        <v>44</v>
      </c>
      <c r="J28" s="13"/>
    </row>
    <row r="29" spans="1:30" ht="13">
      <c r="B29" s="13" t="s">
        <v>129</v>
      </c>
      <c r="C29" s="13" t="s">
        <v>129</v>
      </c>
      <c r="D29" s="13" t="s">
        <v>90</v>
      </c>
      <c r="E29" s="13">
        <v>6</v>
      </c>
      <c r="F29" s="13" t="s">
        <v>90</v>
      </c>
      <c r="G29" s="13" t="s">
        <v>127</v>
      </c>
      <c r="I29" s="5" t="s">
        <v>44</v>
      </c>
      <c r="J29" s="13"/>
    </row>
    <row r="30" spans="1:30" ht="13">
      <c r="A30" s="14"/>
      <c r="B30" s="15" t="s">
        <v>130</v>
      </c>
      <c r="C30" s="14"/>
      <c r="D30" s="14" t="s">
        <v>131</v>
      </c>
      <c r="E30" s="14">
        <v>8</v>
      </c>
      <c r="F30" s="14" t="s">
        <v>132</v>
      </c>
      <c r="G30" s="14" t="s">
        <v>133</v>
      </c>
      <c r="H30" s="14"/>
      <c r="I30" s="14"/>
      <c r="J30" s="16" t="s">
        <v>134</v>
      </c>
      <c r="K30" s="17">
        <v>44754</v>
      </c>
      <c r="L30" s="14" t="s">
        <v>135</v>
      </c>
      <c r="M30" s="14"/>
      <c r="N30" s="14" t="s">
        <v>136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ht="13">
      <c r="A31" s="14"/>
      <c r="B31" s="15" t="s">
        <v>137</v>
      </c>
      <c r="C31" s="14"/>
      <c r="D31" s="14" t="s">
        <v>138</v>
      </c>
      <c r="E31" s="14">
        <v>8</v>
      </c>
      <c r="F31" s="14" t="s">
        <v>139</v>
      </c>
      <c r="G31" s="14" t="s">
        <v>133</v>
      </c>
      <c r="H31" s="14"/>
      <c r="I31" s="14"/>
      <c r="J31" s="16" t="s">
        <v>134</v>
      </c>
      <c r="K31" s="17">
        <v>44754</v>
      </c>
      <c r="L31" s="14" t="s">
        <v>135</v>
      </c>
      <c r="M31" s="14"/>
      <c r="N31" s="14" t="s">
        <v>136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ht="13">
      <c r="A32" s="14"/>
      <c r="B32" s="15" t="s">
        <v>140</v>
      </c>
      <c r="C32" s="14"/>
      <c r="D32" s="14" t="s">
        <v>141</v>
      </c>
      <c r="E32" s="14">
        <v>8</v>
      </c>
      <c r="F32" s="14" t="s">
        <v>142</v>
      </c>
      <c r="G32" s="14" t="s">
        <v>133</v>
      </c>
      <c r="H32" s="14"/>
      <c r="I32" s="14"/>
      <c r="J32" s="16" t="s">
        <v>134</v>
      </c>
      <c r="K32" s="17">
        <v>44754</v>
      </c>
      <c r="L32" s="14" t="s">
        <v>135</v>
      </c>
      <c r="M32" s="14"/>
      <c r="N32" s="14" t="s">
        <v>136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3">
      <c r="A33" s="14"/>
      <c r="B33" s="15" t="s">
        <v>143</v>
      </c>
      <c r="C33" s="14"/>
      <c r="D33" s="14" t="s">
        <v>144</v>
      </c>
      <c r="E33" s="14">
        <v>8</v>
      </c>
      <c r="F33" s="14" t="s">
        <v>145</v>
      </c>
      <c r="G33" s="14" t="s">
        <v>133</v>
      </c>
      <c r="H33" s="14"/>
      <c r="I33" s="14"/>
      <c r="J33" s="16" t="s">
        <v>134</v>
      </c>
      <c r="K33" s="17">
        <v>44754</v>
      </c>
      <c r="L33" s="14" t="s">
        <v>135</v>
      </c>
      <c r="M33" s="14"/>
      <c r="N33" s="14" t="s">
        <v>136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ht="13">
      <c r="A34" s="14"/>
      <c r="B34" s="15" t="s">
        <v>146</v>
      </c>
      <c r="C34" s="14"/>
      <c r="D34" s="14" t="s">
        <v>147</v>
      </c>
      <c r="E34" s="14">
        <v>8</v>
      </c>
      <c r="F34" s="14" t="s">
        <v>148</v>
      </c>
      <c r="G34" s="14" t="s">
        <v>133</v>
      </c>
      <c r="H34" s="14"/>
      <c r="I34" s="14"/>
      <c r="J34" s="16" t="s">
        <v>134</v>
      </c>
      <c r="K34" s="17">
        <v>44754</v>
      </c>
      <c r="L34" s="14" t="s">
        <v>135</v>
      </c>
      <c r="M34" s="14"/>
      <c r="N34" s="14" t="s">
        <v>136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1:30" ht="13">
      <c r="A35" s="14"/>
      <c r="B35" s="15" t="s">
        <v>149</v>
      </c>
      <c r="C35" s="14"/>
      <c r="D35" s="14" t="s">
        <v>150</v>
      </c>
      <c r="E35" s="14">
        <v>8</v>
      </c>
      <c r="F35" s="14" t="s">
        <v>151</v>
      </c>
      <c r="G35" s="14" t="s">
        <v>133</v>
      </c>
      <c r="H35" s="14"/>
      <c r="I35" s="14"/>
      <c r="J35" s="16" t="s">
        <v>152</v>
      </c>
      <c r="K35" s="17">
        <v>44754</v>
      </c>
      <c r="L35" s="14" t="s">
        <v>135</v>
      </c>
      <c r="M35" s="14"/>
      <c r="N35" s="14" t="s">
        <v>136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1:30" ht="13">
      <c r="A36" s="14"/>
      <c r="B36" s="15" t="s">
        <v>153</v>
      </c>
      <c r="C36" s="14"/>
      <c r="D36" s="14" t="s">
        <v>154</v>
      </c>
      <c r="E36" s="14">
        <v>10</v>
      </c>
      <c r="F36" s="14" t="s">
        <v>155</v>
      </c>
      <c r="G36" s="14" t="s">
        <v>133</v>
      </c>
      <c r="H36" s="14"/>
      <c r="I36" s="5" t="s">
        <v>44</v>
      </c>
      <c r="J36" s="16" t="s">
        <v>134</v>
      </c>
      <c r="K36" s="17">
        <v>44754</v>
      </c>
      <c r="L36" s="14" t="s">
        <v>135</v>
      </c>
      <c r="M36" s="14"/>
      <c r="N36" s="14" t="s">
        <v>136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1:30" ht="13">
      <c r="A37" s="14"/>
      <c r="B37" s="15" t="s">
        <v>156</v>
      </c>
      <c r="C37" s="14"/>
      <c r="D37" s="14" t="s">
        <v>157</v>
      </c>
      <c r="E37" s="14">
        <v>10</v>
      </c>
      <c r="F37" s="14" t="s">
        <v>158</v>
      </c>
      <c r="G37" s="14" t="s">
        <v>133</v>
      </c>
      <c r="H37" s="14"/>
      <c r="I37" s="5" t="s">
        <v>44</v>
      </c>
      <c r="J37" s="16" t="s">
        <v>134</v>
      </c>
      <c r="K37" s="17">
        <v>44754</v>
      </c>
      <c r="L37" s="14" t="s">
        <v>135</v>
      </c>
      <c r="M37" s="14"/>
      <c r="N37" s="14" t="s">
        <v>136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1:30" ht="13">
      <c r="A38" s="14"/>
      <c r="B38" s="15" t="s">
        <v>159</v>
      </c>
      <c r="C38" s="14"/>
      <c r="D38" s="14" t="s">
        <v>160</v>
      </c>
      <c r="E38" s="14">
        <v>8</v>
      </c>
      <c r="F38" s="14" t="s">
        <v>161</v>
      </c>
      <c r="G38" s="14" t="s">
        <v>133</v>
      </c>
      <c r="H38" s="14"/>
      <c r="I38" s="5" t="s">
        <v>44</v>
      </c>
      <c r="J38" s="16" t="s">
        <v>134</v>
      </c>
      <c r="K38" s="17">
        <v>44754</v>
      </c>
      <c r="L38" s="14" t="s">
        <v>135</v>
      </c>
      <c r="M38" s="14"/>
      <c r="N38" s="14" t="s">
        <v>136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1:30" ht="13">
      <c r="A39" s="14"/>
      <c r="B39" s="15" t="s">
        <v>162</v>
      </c>
      <c r="C39" s="14"/>
      <c r="D39" s="14" t="s">
        <v>163</v>
      </c>
      <c r="E39" s="14">
        <v>10</v>
      </c>
      <c r="F39" s="14" t="s">
        <v>164</v>
      </c>
      <c r="G39" s="14" t="s">
        <v>133</v>
      </c>
      <c r="H39" s="14"/>
      <c r="I39" s="14"/>
      <c r="J39" s="16" t="s">
        <v>134</v>
      </c>
      <c r="K39" s="17">
        <v>44754</v>
      </c>
      <c r="L39" s="14" t="s">
        <v>135</v>
      </c>
      <c r="M39" s="14"/>
      <c r="N39" s="14" t="s">
        <v>136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1:30" ht="13">
      <c r="A40" s="14"/>
      <c r="B40" s="15" t="s">
        <v>165</v>
      </c>
      <c r="C40" s="14"/>
      <c r="D40" s="14" t="s">
        <v>166</v>
      </c>
      <c r="E40" s="14">
        <v>10</v>
      </c>
      <c r="F40" s="14" t="s">
        <v>167</v>
      </c>
      <c r="G40" s="14" t="s">
        <v>133</v>
      </c>
      <c r="H40" s="14"/>
      <c r="I40" s="14"/>
      <c r="J40" s="16" t="s">
        <v>134</v>
      </c>
      <c r="K40" s="17">
        <v>44754</v>
      </c>
      <c r="L40" s="14" t="s">
        <v>135</v>
      </c>
      <c r="M40" s="14"/>
      <c r="N40" s="14" t="s">
        <v>136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1:30" ht="13">
      <c r="B41" s="13" t="s">
        <v>168</v>
      </c>
      <c r="C41" s="13" t="s">
        <v>168</v>
      </c>
      <c r="D41" s="13" t="s">
        <v>169</v>
      </c>
      <c r="E41" s="13">
        <v>13</v>
      </c>
      <c r="F41" s="13" t="s">
        <v>169</v>
      </c>
      <c r="G41" s="13" t="s">
        <v>170</v>
      </c>
      <c r="H41" s="13" t="s">
        <v>171</v>
      </c>
      <c r="J41" s="18" t="s">
        <v>172</v>
      </c>
    </row>
    <row r="42" spans="1:30" ht="13">
      <c r="B42" s="13" t="s">
        <v>173</v>
      </c>
      <c r="C42" s="13" t="s">
        <v>173</v>
      </c>
      <c r="D42" s="13" t="s">
        <v>174</v>
      </c>
      <c r="E42" s="13">
        <v>13</v>
      </c>
      <c r="F42" s="13" t="s">
        <v>174</v>
      </c>
      <c r="G42" s="13" t="s">
        <v>170</v>
      </c>
      <c r="H42" s="13" t="s">
        <v>175</v>
      </c>
      <c r="J42" s="18" t="s">
        <v>176</v>
      </c>
    </row>
    <row r="43" spans="1:30" ht="13">
      <c r="B43" s="13" t="s">
        <v>177</v>
      </c>
      <c r="C43" s="13" t="s">
        <v>177</v>
      </c>
      <c r="D43" s="13" t="s">
        <v>178</v>
      </c>
      <c r="E43" s="13">
        <v>13</v>
      </c>
      <c r="F43" s="13" t="s">
        <v>178</v>
      </c>
      <c r="G43" s="13" t="s">
        <v>179</v>
      </c>
      <c r="H43" s="13" t="s">
        <v>180</v>
      </c>
      <c r="J43" s="18" t="s">
        <v>181</v>
      </c>
    </row>
    <row r="44" spans="1:30" ht="13">
      <c r="B44" s="13" t="s">
        <v>182</v>
      </c>
      <c r="C44" s="13" t="s">
        <v>182</v>
      </c>
      <c r="D44" s="13" t="s">
        <v>183</v>
      </c>
      <c r="E44" s="13">
        <v>13</v>
      </c>
      <c r="F44" s="13" t="s">
        <v>183</v>
      </c>
      <c r="G44" s="13" t="s">
        <v>184</v>
      </c>
      <c r="H44" s="13" t="s">
        <v>185</v>
      </c>
      <c r="J44" s="18" t="s">
        <v>186</v>
      </c>
    </row>
    <row r="45" spans="1:30" ht="13">
      <c r="B45" s="19" t="s">
        <v>187</v>
      </c>
      <c r="C45" s="19" t="s">
        <v>187</v>
      </c>
      <c r="D45" s="13" t="s">
        <v>188</v>
      </c>
      <c r="E45" s="13">
        <v>13</v>
      </c>
      <c r="F45" s="13" t="s">
        <v>188</v>
      </c>
      <c r="G45" s="13" t="s">
        <v>189</v>
      </c>
      <c r="H45" s="13" t="s">
        <v>190</v>
      </c>
      <c r="J45" s="18" t="s">
        <v>191</v>
      </c>
    </row>
    <row r="46" spans="1:30" ht="13">
      <c r="B46" s="13" t="s">
        <v>192</v>
      </c>
      <c r="C46" s="13" t="s">
        <v>192</v>
      </c>
      <c r="D46" s="13" t="s">
        <v>193</v>
      </c>
      <c r="E46" s="13">
        <v>13</v>
      </c>
      <c r="F46" s="13" t="s">
        <v>193</v>
      </c>
      <c r="G46" s="13" t="s">
        <v>194</v>
      </c>
      <c r="H46" s="13" t="s">
        <v>195</v>
      </c>
      <c r="J46" s="18" t="s">
        <v>196</v>
      </c>
    </row>
    <row r="47" spans="1:30" ht="13">
      <c r="B47" s="13" t="s">
        <v>197</v>
      </c>
      <c r="C47" s="13" t="s">
        <v>197</v>
      </c>
      <c r="D47" s="13" t="s">
        <v>198</v>
      </c>
      <c r="E47" s="13">
        <v>14</v>
      </c>
      <c r="F47" s="13" t="s">
        <v>198</v>
      </c>
      <c r="G47" s="13" t="s">
        <v>199</v>
      </c>
      <c r="J47" s="13"/>
    </row>
    <row r="48" spans="1:30" ht="13">
      <c r="B48" s="13" t="s">
        <v>200</v>
      </c>
      <c r="C48" s="13" t="s">
        <v>200</v>
      </c>
      <c r="D48" s="13" t="s">
        <v>201</v>
      </c>
      <c r="E48" s="13">
        <v>14</v>
      </c>
      <c r="F48" s="13" t="s">
        <v>201</v>
      </c>
      <c r="G48" s="13" t="s">
        <v>199</v>
      </c>
      <c r="J48" s="13"/>
    </row>
    <row r="49" spans="1:30" ht="13">
      <c r="B49" s="13" t="s">
        <v>202</v>
      </c>
      <c r="C49" s="13" t="s">
        <v>202</v>
      </c>
      <c r="D49" s="13" t="s">
        <v>203</v>
      </c>
      <c r="E49" s="13">
        <v>14</v>
      </c>
      <c r="F49" s="13" t="s">
        <v>203</v>
      </c>
      <c r="G49" s="13" t="s">
        <v>199</v>
      </c>
      <c r="J49" s="13"/>
    </row>
    <row r="50" spans="1:30" ht="13">
      <c r="B50" s="19" t="s">
        <v>204</v>
      </c>
      <c r="C50" s="13" t="s">
        <v>204</v>
      </c>
      <c r="D50" s="13" t="s">
        <v>205</v>
      </c>
      <c r="E50" s="13">
        <v>14</v>
      </c>
      <c r="F50" s="13" t="s">
        <v>205</v>
      </c>
      <c r="G50" s="13" t="s">
        <v>199</v>
      </c>
      <c r="J50" s="13"/>
    </row>
    <row r="51" spans="1:30" ht="13">
      <c r="B51" s="19" t="s">
        <v>206</v>
      </c>
      <c r="C51" s="13" t="s">
        <v>206</v>
      </c>
      <c r="D51" s="13" t="s">
        <v>207</v>
      </c>
      <c r="E51" s="13">
        <v>14</v>
      </c>
      <c r="F51" s="13" t="s">
        <v>207</v>
      </c>
      <c r="G51" s="13" t="s">
        <v>199</v>
      </c>
      <c r="J51" s="13"/>
    </row>
    <row r="52" spans="1:30" ht="13">
      <c r="B52" s="13" t="s">
        <v>208</v>
      </c>
      <c r="C52" s="13" t="s">
        <v>208</v>
      </c>
      <c r="D52" s="13" t="s">
        <v>209</v>
      </c>
      <c r="E52" s="13">
        <v>15</v>
      </c>
      <c r="F52" s="13" t="s">
        <v>209</v>
      </c>
      <c r="G52" s="13" t="s">
        <v>199</v>
      </c>
      <c r="J52" s="13"/>
    </row>
    <row r="53" spans="1:30" ht="13">
      <c r="B53" s="13" t="s">
        <v>210</v>
      </c>
      <c r="C53" s="13" t="s">
        <v>210</v>
      </c>
      <c r="D53" s="13" t="s">
        <v>211</v>
      </c>
      <c r="E53" s="13">
        <v>15</v>
      </c>
      <c r="F53" s="13" t="s">
        <v>211</v>
      </c>
      <c r="G53" s="13" t="s">
        <v>199</v>
      </c>
      <c r="J53" s="13"/>
    </row>
    <row r="54" spans="1:30" ht="13">
      <c r="B54" s="19" t="s">
        <v>212</v>
      </c>
      <c r="C54" s="13" t="s">
        <v>212</v>
      </c>
      <c r="D54" s="13" t="s">
        <v>213</v>
      </c>
      <c r="E54" s="13">
        <v>15</v>
      </c>
      <c r="F54" s="13" t="s">
        <v>213</v>
      </c>
      <c r="G54" s="13" t="s">
        <v>199</v>
      </c>
      <c r="J54" s="13"/>
    </row>
    <row r="55" spans="1:30" ht="13">
      <c r="B55" s="19" t="s">
        <v>214</v>
      </c>
      <c r="C55" s="13" t="s">
        <v>214</v>
      </c>
      <c r="D55" s="13" t="s">
        <v>215</v>
      </c>
      <c r="E55" s="13">
        <v>15</v>
      </c>
      <c r="F55" s="13" t="s">
        <v>215</v>
      </c>
      <c r="G55" s="13" t="s">
        <v>199</v>
      </c>
      <c r="J55" s="13"/>
    </row>
    <row r="56" spans="1:30" ht="13">
      <c r="B56" s="19" t="s">
        <v>216</v>
      </c>
      <c r="C56" s="13" t="s">
        <v>216</v>
      </c>
      <c r="D56" s="13" t="s">
        <v>217</v>
      </c>
      <c r="E56" s="13">
        <v>15</v>
      </c>
      <c r="F56" s="13" t="s">
        <v>217</v>
      </c>
      <c r="G56" s="13" t="s">
        <v>199</v>
      </c>
      <c r="J56" s="13"/>
    </row>
    <row r="57" spans="1:30" ht="13">
      <c r="A57" s="14"/>
      <c r="B57" s="15" t="s">
        <v>218</v>
      </c>
      <c r="C57" s="14"/>
      <c r="D57" s="14" t="s">
        <v>219</v>
      </c>
      <c r="E57" s="14" t="s">
        <v>220</v>
      </c>
      <c r="F57" s="14" t="s">
        <v>221</v>
      </c>
      <c r="G57" s="14" t="s">
        <v>133</v>
      </c>
      <c r="H57" s="14"/>
      <c r="I57" s="14"/>
      <c r="J57" s="16" t="s">
        <v>134</v>
      </c>
      <c r="K57" s="17">
        <v>44754</v>
      </c>
      <c r="L57" s="14" t="s">
        <v>135</v>
      </c>
      <c r="M57" s="14"/>
      <c r="N57" s="14" t="s">
        <v>136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1:30" ht="13">
      <c r="A58" s="14"/>
      <c r="B58" s="15" t="s">
        <v>222</v>
      </c>
      <c r="C58" s="14"/>
      <c r="D58" s="14" t="s">
        <v>223</v>
      </c>
      <c r="E58" s="14" t="s">
        <v>220</v>
      </c>
      <c r="F58" s="14" t="s">
        <v>224</v>
      </c>
      <c r="G58" s="14" t="s">
        <v>133</v>
      </c>
      <c r="H58" s="14"/>
      <c r="I58" s="14"/>
      <c r="J58" s="16" t="s">
        <v>134</v>
      </c>
      <c r="K58" s="17">
        <v>44754</v>
      </c>
      <c r="L58" s="14" t="s">
        <v>135</v>
      </c>
      <c r="M58" s="14"/>
      <c r="N58" s="14" t="s">
        <v>136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1:30" ht="13">
      <c r="A59" s="14"/>
      <c r="B59" s="15" t="s">
        <v>225</v>
      </c>
      <c r="C59" s="14"/>
      <c r="D59" s="14" t="s">
        <v>226</v>
      </c>
      <c r="E59" s="14" t="s">
        <v>220</v>
      </c>
      <c r="F59" s="14" t="s">
        <v>227</v>
      </c>
      <c r="G59" s="14" t="s">
        <v>133</v>
      </c>
      <c r="H59" s="14"/>
      <c r="I59" s="14"/>
      <c r="J59" s="16" t="s">
        <v>134</v>
      </c>
      <c r="K59" s="17">
        <v>44754</v>
      </c>
      <c r="L59" s="14" t="s">
        <v>135</v>
      </c>
      <c r="M59" s="14"/>
      <c r="N59" s="14" t="s">
        <v>136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1:30" ht="13">
      <c r="A60" s="14"/>
      <c r="B60" s="15" t="s">
        <v>228</v>
      </c>
      <c r="C60" s="14"/>
      <c r="D60" s="14" t="s">
        <v>229</v>
      </c>
      <c r="E60" s="14" t="s">
        <v>230</v>
      </c>
      <c r="F60" s="14" t="s">
        <v>231</v>
      </c>
      <c r="G60" s="14" t="s">
        <v>133</v>
      </c>
      <c r="H60" s="14"/>
      <c r="I60" s="20" t="s">
        <v>232</v>
      </c>
      <c r="J60" s="21" t="s">
        <v>134</v>
      </c>
      <c r="K60" s="17">
        <v>44754</v>
      </c>
      <c r="L60" s="14" t="s">
        <v>135</v>
      </c>
      <c r="M60" s="14"/>
      <c r="N60" s="14" t="s">
        <v>136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1:30" ht="13">
      <c r="A61" s="14"/>
      <c r="B61" s="15" t="s">
        <v>233</v>
      </c>
      <c r="C61" s="14"/>
      <c r="D61" s="14" t="s">
        <v>234</v>
      </c>
      <c r="E61" s="14" t="s">
        <v>230</v>
      </c>
      <c r="F61" s="14" t="s">
        <v>235</v>
      </c>
      <c r="G61" s="14" t="s">
        <v>133</v>
      </c>
      <c r="H61" s="14"/>
      <c r="I61" s="20" t="s">
        <v>236</v>
      </c>
      <c r="J61" s="16" t="s">
        <v>134</v>
      </c>
      <c r="K61" s="17">
        <v>44754</v>
      </c>
      <c r="L61" s="14" t="s">
        <v>135</v>
      </c>
      <c r="M61" s="14"/>
      <c r="N61" s="14" t="s">
        <v>136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1:30" ht="13">
      <c r="A62" s="14"/>
      <c r="B62" s="15" t="s">
        <v>237</v>
      </c>
      <c r="C62" s="14"/>
      <c r="D62" s="14" t="s">
        <v>238</v>
      </c>
      <c r="E62" s="14" t="s">
        <v>230</v>
      </c>
      <c r="F62" s="14" t="s">
        <v>239</v>
      </c>
      <c r="G62" s="14" t="s">
        <v>133</v>
      </c>
      <c r="H62" s="14"/>
      <c r="I62" s="14" t="s">
        <v>240</v>
      </c>
      <c r="J62" s="16" t="s">
        <v>134</v>
      </c>
      <c r="K62" s="17">
        <v>44754</v>
      </c>
      <c r="L62" s="14" t="s">
        <v>135</v>
      </c>
      <c r="M62" s="14"/>
      <c r="N62" s="14" t="s">
        <v>136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1:30" ht="13">
      <c r="A63" s="22"/>
      <c r="B63" s="23" t="s">
        <v>241</v>
      </c>
      <c r="C63" s="22"/>
      <c r="D63" s="22" t="s">
        <v>242</v>
      </c>
      <c r="E63" s="22"/>
      <c r="F63" s="22"/>
      <c r="G63" s="22" t="s">
        <v>243</v>
      </c>
      <c r="H63" s="22" t="s">
        <v>244</v>
      </c>
      <c r="I63" s="22" t="s">
        <v>245</v>
      </c>
      <c r="J63" s="24" t="s">
        <v>246</v>
      </c>
      <c r="K63" s="25"/>
      <c r="L63" s="25"/>
      <c r="M63" s="26">
        <v>43867</v>
      </c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ht="13">
      <c r="A64" s="5"/>
      <c r="B64" s="6">
        <v>13483918910</v>
      </c>
      <c r="C64" s="5" t="s">
        <v>247</v>
      </c>
      <c r="D64" s="5" t="s">
        <v>248</v>
      </c>
      <c r="E64" s="5" t="s">
        <v>249</v>
      </c>
      <c r="F64" s="5" t="s">
        <v>250</v>
      </c>
      <c r="G64" s="5" t="s">
        <v>18</v>
      </c>
      <c r="H64" s="5"/>
      <c r="I64" s="5" t="s">
        <v>251</v>
      </c>
      <c r="J64" s="7" t="s">
        <v>252</v>
      </c>
      <c r="K64" s="8">
        <v>42949</v>
      </c>
      <c r="L64" s="27" t="s">
        <v>253</v>
      </c>
      <c r="M64" s="8">
        <v>45406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>
      <c r="A65" s="22"/>
      <c r="B65" s="23" t="s">
        <v>254</v>
      </c>
      <c r="C65" s="25"/>
      <c r="D65" s="22" t="s">
        <v>255</v>
      </c>
      <c r="E65" s="22"/>
      <c r="F65" s="22"/>
      <c r="G65" s="22" t="s">
        <v>256</v>
      </c>
      <c r="H65" s="25">
        <v>113</v>
      </c>
      <c r="I65" s="22" t="s">
        <v>257</v>
      </c>
      <c r="J65" s="28" t="s">
        <v>258</v>
      </c>
      <c r="K65" s="25"/>
      <c r="L65" s="25"/>
      <c r="M65" s="26">
        <v>43867</v>
      </c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ht="13">
      <c r="A66" s="29"/>
      <c r="B66" s="30" t="s">
        <v>259</v>
      </c>
      <c r="C66" s="29"/>
      <c r="D66" s="29" t="s">
        <v>260</v>
      </c>
      <c r="E66" s="29"/>
      <c r="F66" s="29"/>
      <c r="G66" s="29" t="s">
        <v>261</v>
      </c>
      <c r="H66" s="29" t="s">
        <v>262</v>
      </c>
      <c r="I66" s="29" t="s">
        <v>20</v>
      </c>
      <c r="J66" s="31" t="s">
        <v>263</v>
      </c>
      <c r="K66" s="32"/>
      <c r="L66" s="33">
        <v>38978</v>
      </c>
      <c r="M66" s="34">
        <v>43874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3">
      <c r="A67" s="29"/>
      <c r="B67" s="30" t="s">
        <v>264</v>
      </c>
      <c r="C67" s="29"/>
      <c r="D67" s="29" t="s">
        <v>265</v>
      </c>
      <c r="E67" s="29"/>
      <c r="F67" s="29"/>
      <c r="G67" s="29" t="s">
        <v>261</v>
      </c>
      <c r="H67" s="29"/>
      <c r="I67" s="29" t="s">
        <v>20</v>
      </c>
      <c r="J67" s="31" t="s">
        <v>266</v>
      </c>
      <c r="K67" s="35"/>
      <c r="L67" s="33"/>
      <c r="M67" s="34">
        <v>43874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 ht="13">
      <c r="A68" s="29"/>
      <c r="B68" s="30" t="s">
        <v>267</v>
      </c>
      <c r="C68" s="29"/>
      <c r="D68" s="29" t="s">
        <v>268</v>
      </c>
      <c r="E68" s="29"/>
      <c r="F68" s="29"/>
      <c r="G68" s="29" t="s">
        <v>261</v>
      </c>
      <c r="H68" s="29"/>
      <c r="I68" s="29" t="s">
        <v>20</v>
      </c>
      <c r="J68" s="31" t="s">
        <v>269</v>
      </c>
      <c r="K68" s="35">
        <v>43208</v>
      </c>
      <c r="L68" s="33"/>
      <c r="M68" s="34">
        <v>43874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 ht="13">
      <c r="A69" s="29"/>
      <c r="B69" s="30" t="s">
        <v>270</v>
      </c>
      <c r="C69" s="29"/>
      <c r="D69" s="29" t="s">
        <v>271</v>
      </c>
      <c r="E69" s="29"/>
      <c r="F69" s="29"/>
      <c r="G69" s="29" t="s">
        <v>261</v>
      </c>
      <c r="H69" s="29"/>
      <c r="I69" s="29" t="s">
        <v>20</v>
      </c>
      <c r="J69" s="31" t="s">
        <v>272</v>
      </c>
      <c r="K69" s="32"/>
      <c r="L69" s="33">
        <v>38978</v>
      </c>
      <c r="M69" s="34">
        <v>43867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 ht="13">
      <c r="A70" s="29"/>
      <c r="B70" s="36" t="s">
        <v>273</v>
      </c>
      <c r="C70" s="29"/>
      <c r="D70" s="29" t="s">
        <v>274</v>
      </c>
      <c r="E70" s="29"/>
      <c r="F70" s="29"/>
      <c r="G70" s="29" t="s">
        <v>261</v>
      </c>
      <c r="H70" s="29"/>
      <c r="I70" s="29" t="s">
        <v>20</v>
      </c>
      <c r="J70" s="31" t="s">
        <v>275</v>
      </c>
      <c r="K70" s="32"/>
      <c r="L70" s="33">
        <v>38978</v>
      </c>
      <c r="M70" s="34">
        <v>43867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 ht="13">
      <c r="A71" s="29"/>
      <c r="B71" s="36" t="s">
        <v>276</v>
      </c>
      <c r="C71" s="29"/>
      <c r="D71" s="29" t="s">
        <v>277</v>
      </c>
      <c r="E71" s="29"/>
      <c r="F71" s="29"/>
      <c r="G71" s="29" t="s">
        <v>261</v>
      </c>
      <c r="H71" s="29"/>
      <c r="I71" s="29" t="s">
        <v>20</v>
      </c>
      <c r="J71" s="37" t="s">
        <v>278</v>
      </c>
      <c r="K71" s="32"/>
      <c r="L71" s="33">
        <v>38978</v>
      </c>
      <c r="M71" s="34">
        <v>43867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 ht="13">
      <c r="A72" s="29"/>
      <c r="B72" s="30" t="s">
        <v>279</v>
      </c>
      <c r="C72" s="29"/>
      <c r="D72" s="29" t="s">
        <v>280</v>
      </c>
      <c r="E72" s="29"/>
      <c r="F72" s="29"/>
      <c r="G72" s="29" t="s">
        <v>261</v>
      </c>
      <c r="H72" s="29"/>
      <c r="I72" s="29" t="s">
        <v>20</v>
      </c>
      <c r="J72" s="31" t="s">
        <v>281</v>
      </c>
      <c r="K72" s="32"/>
      <c r="L72" s="33">
        <v>38978</v>
      </c>
      <c r="M72" s="34">
        <v>43867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 ht="13">
      <c r="A73" s="29"/>
      <c r="B73" s="30" t="s">
        <v>282</v>
      </c>
      <c r="C73" s="29"/>
      <c r="D73" s="29" t="s">
        <v>283</v>
      </c>
      <c r="E73" s="29"/>
      <c r="F73" s="29"/>
      <c r="G73" s="29" t="s">
        <v>261</v>
      </c>
      <c r="H73" s="29"/>
      <c r="I73" s="29" t="s">
        <v>20</v>
      </c>
      <c r="J73" s="31" t="s">
        <v>284</v>
      </c>
      <c r="K73" s="32"/>
      <c r="L73" s="33">
        <v>38978</v>
      </c>
      <c r="M73" s="34">
        <v>43867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 ht="13">
      <c r="A74" s="29"/>
      <c r="B74" s="30" t="s">
        <v>285</v>
      </c>
      <c r="C74" s="29"/>
      <c r="D74" s="29" t="s">
        <v>286</v>
      </c>
      <c r="E74" s="29"/>
      <c r="F74" s="29"/>
      <c r="G74" s="29" t="s">
        <v>261</v>
      </c>
      <c r="H74" s="29"/>
      <c r="I74" s="29" t="s">
        <v>20</v>
      </c>
      <c r="J74" s="31" t="s">
        <v>287</v>
      </c>
      <c r="K74" s="32"/>
      <c r="L74" s="33">
        <v>38978</v>
      </c>
      <c r="M74" s="34">
        <v>43867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 ht="13">
      <c r="A75" s="29"/>
      <c r="B75" s="30" t="s">
        <v>288</v>
      </c>
      <c r="C75" s="29"/>
      <c r="D75" s="29" t="s">
        <v>289</v>
      </c>
      <c r="E75" s="29"/>
      <c r="F75" s="29"/>
      <c r="G75" s="29" t="s">
        <v>261</v>
      </c>
      <c r="H75" s="29"/>
      <c r="I75" s="29" t="s">
        <v>20</v>
      </c>
      <c r="J75" s="31" t="s">
        <v>290</v>
      </c>
      <c r="K75" s="32"/>
      <c r="L75" s="33">
        <v>38978</v>
      </c>
      <c r="M75" s="34">
        <v>43867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 ht="13">
      <c r="A76" s="29"/>
      <c r="B76" s="30" t="s">
        <v>291</v>
      </c>
      <c r="C76" s="29"/>
      <c r="D76" s="29" t="s">
        <v>292</v>
      </c>
      <c r="E76" s="29"/>
      <c r="F76" s="29"/>
      <c r="G76" s="29" t="s">
        <v>261</v>
      </c>
      <c r="H76" s="29"/>
      <c r="I76" s="29" t="s">
        <v>20</v>
      </c>
      <c r="J76" s="31" t="s">
        <v>293</v>
      </c>
      <c r="K76" s="32"/>
      <c r="L76" s="33">
        <v>38978</v>
      </c>
      <c r="M76" s="34">
        <v>43867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 ht="13">
      <c r="A77" s="29"/>
      <c r="B77" s="30" t="s">
        <v>294</v>
      </c>
      <c r="C77" s="29"/>
      <c r="D77" s="29" t="s">
        <v>295</v>
      </c>
      <c r="E77" s="29"/>
      <c r="F77" s="29"/>
      <c r="G77" s="29" t="s">
        <v>261</v>
      </c>
      <c r="H77" s="29"/>
      <c r="I77" s="29" t="s">
        <v>20</v>
      </c>
      <c r="J77" s="31" t="s">
        <v>296</v>
      </c>
      <c r="K77" s="32"/>
      <c r="L77" s="33">
        <v>38978</v>
      </c>
      <c r="M77" s="34">
        <v>43867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 ht="13">
      <c r="A78" s="29"/>
      <c r="B78" s="30" t="s">
        <v>297</v>
      </c>
      <c r="C78" s="29"/>
      <c r="D78" s="29" t="s">
        <v>298</v>
      </c>
      <c r="E78" s="29"/>
      <c r="F78" s="29"/>
      <c r="G78" s="29" t="s">
        <v>261</v>
      </c>
      <c r="H78" s="29"/>
      <c r="I78" s="29" t="s">
        <v>20</v>
      </c>
      <c r="J78" s="37" t="s">
        <v>299</v>
      </c>
      <c r="K78" s="32"/>
      <c r="L78" s="33">
        <v>38978</v>
      </c>
      <c r="M78" s="34">
        <v>43867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spans="1:30" ht="13">
      <c r="A79" s="29"/>
      <c r="B79" s="30" t="s">
        <v>300</v>
      </c>
      <c r="C79" s="29"/>
      <c r="D79" s="29" t="s">
        <v>301</v>
      </c>
      <c r="E79" s="29"/>
      <c r="F79" s="29"/>
      <c r="G79" s="29" t="s">
        <v>261</v>
      </c>
      <c r="H79" s="29"/>
      <c r="I79" s="29" t="s">
        <v>20</v>
      </c>
      <c r="J79" s="31" t="s">
        <v>302</v>
      </c>
      <c r="K79" s="32"/>
      <c r="L79" s="33">
        <v>38978</v>
      </c>
      <c r="M79" s="34">
        <v>43867</v>
      </c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 ht="13">
      <c r="A80" s="29"/>
      <c r="B80" s="30" t="s">
        <v>303</v>
      </c>
      <c r="C80" s="29"/>
      <c r="D80" s="29" t="s">
        <v>304</v>
      </c>
      <c r="E80" s="29"/>
      <c r="F80" s="29"/>
      <c r="G80" s="29" t="s">
        <v>261</v>
      </c>
      <c r="H80" s="29"/>
      <c r="I80" s="29" t="s">
        <v>20</v>
      </c>
      <c r="J80" s="31" t="s">
        <v>305</v>
      </c>
      <c r="K80" s="32"/>
      <c r="L80" s="33">
        <v>38978</v>
      </c>
      <c r="M80" s="34">
        <v>43867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0" ht="13">
      <c r="A81" s="29"/>
      <c r="B81" s="30" t="s">
        <v>306</v>
      </c>
      <c r="C81" s="29"/>
      <c r="D81" s="29" t="s">
        <v>307</v>
      </c>
      <c r="E81" s="29"/>
      <c r="F81" s="29"/>
      <c r="G81" s="29" t="s">
        <v>261</v>
      </c>
      <c r="H81" s="29"/>
      <c r="I81" s="29" t="s">
        <v>20</v>
      </c>
      <c r="J81" s="31" t="s">
        <v>308</v>
      </c>
      <c r="K81" s="32"/>
      <c r="L81" s="33">
        <v>38978</v>
      </c>
      <c r="M81" s="34">
        <v>43867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0" ht="13">
      <c r="A82" s="29"/>
      <c r="B82" s="30" t="s">
        <v>309</v>
      </c>
      <c r="C82" s="29"/>
      <c r="D82" s="29" t="s">
        <v>310</v>
      </c>
      <c r="E82" s="29"/>
      <c r="F82" s="29"/>
      <c r="G82" s="29" t="s">
        <v>261</v>
      </c>
      <c r="H82" s="29"/>
      <c r="I82" s="29" t="s">
        <v>20</v>
      </c>
      <c r="J82" s="37" t="s">
        <v>311</v>
      </c>
      <c r="K82" s="32"/>
      <c r="L82" s="33">
        <v>38978</v>
      </c>
      <c r="M82" s="34">
        <v>43867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 ht="13">
      <c r="A83" s="29"/>
      <c r="B83" s="30" t="s">
        <v>312</v>
      </c>
      <c r="C83" s="29"/>
      <c r="D83" s="29" t="s">
        <v>313</v>
      </c>
      <c r="E83" s="29"/>
      <c r="F83" s="29"/>
      <c r="G83" s="29" t="s">
        <v>261</v>
      </c>
      <c r="H83" s="29"/>
      <c r="I83" s="29" t="s">
        <v>20</v>
      </c>
      <c r="J83" s="31" t="s">
        <v>314</v>
      </c>
      <c r="K83" s="32"/>
      <c r="L83" s="33">
        <v>38978</v>
      </c>
      <c r="M83" s="34">
        <v>43867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 ht="13">
      <c r="A84" s="29"/>
      <c r="B84" s="30" t="s">
        <v>315</v>
      </c>
      <c r="C84" s="29"/>
      <c r="D84" s="29" t="s">
        <v>316</v>
      </c>
      <c r="E84" s="29"/>
      <c r="F84" s="29"/>
      <c r="G84" s="29" t="s">
        <v>261</v>
      </c>
      <c r="H84" s="29"/>
      <c r="I84" s="29" t="s">
        <v>20</v>
      </c>
      <c r="J84" s="31" t="s">
        <v>317</v>
      </c>
      <c r="K84" s="32"/>
      <c r="L84" s="33">
        <v>38978</v>
      </c>
      <c r="M84" s="34">
        <v>43867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 ht="13">
      <c r="A85" s="29"/>
      <c r="B85" s="30" t="s">
        <v>318</v>
      </c>
      <c r="C85" s="29"/>
      <c r="D85" s="29" t="s">
        <v>319</v>
      </c>
      <c r="E85" s="29"/>
      <c r="F85" s="29"/>
      <c r="G85" s="29" t="s">
        <v>261</v>
      </c>
      <c r="H85" s="29"/>
      <c r="I85" s="29" t="s">
        <v>20</v>
      </c>
      <c r="J85" s="31" t="s">
        <v>320</v>
      </c>
      <c r="K85" s="32"/>
      <c r="L85" s="33">
        <v>38978</v>
      </c>
      <c r="M85" s="34">
        <v>43867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spans="1:30" ht="13">
      <c r="A86" s="29"/>
      <c r="B86" s="30" t="s">
        <v>321</v>
      </c>
      <c r="C86" s="29"/>
      <c r="D86" s="29" t="s">
        <v>322</v>
      </c>
      <c r="E86" s="29"/>
      <c r="F86" s="29"/>
      <c r="G86" s="29" t="s">
        <v>261</v>
      </c>
      <c r="H86" s="29"/>
      <c r="I86" s="29" t="s">
        <v>20</v>
      </c>
      <c r="J86" s="31" t="s">
        <v>323</v>
      </c>
      <c r="K86" s="35">
        <v>42966</v>
      </c>
      <c r="L86" s="33">
        <v>38978</v>
      </c>
      <c r="M86" s="34">
        <v>43867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 ht="13">
      <c r="A87" s="29"/>
      <c r="B87" s="30" t="s">
        <v>324</v>
      </c>
      <c r="C87" s="29"/>
      <c r="D87" s="29" t="s">
        <v>325</v>
      </c>
      <c r="E87" s="29"/>
      <c r="F87" s="29"/>
      <c r="G87" s="29" t="s">
        <v>261</v>
      </c>
      <c r="H87" s="29"/>
      <c r="I87" s="29" t="s">
        <v>20</v>
      </c>
      <c r="J87" s="31" t="s">
        <v>326</v>
      </c>
      <c r="K87" s="35">
        <v>42966</v>
      </c>
      <c r="L87" s="33">
        <v>38978</v>
      </c>
      <c r="M87" s="34">
        <v>43867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spans="1:30" ht="13">
      <c r="A88" s="29"/>
      <c r="B88" s="30" t="s">
        <v>327</v>
      </c>
      <c r="C88" s="29"/>
      <c r="D88" s="29" t="s">
        <v>328</v>
      </c>
      <c r="E88" s="29"/>
      <c r="F88" s="29"/>
      <c r="G88" s="29" t="s">
        <v>261</v>
      </c>
      <c r="H88" s="29"/>
      <c r="I88" s="29" t="s">
        <v>20</v>
      </c>
      <c r="J88" s="31" t="s">
        <v>329</v>
      </c>
      <c r="K88" s="35">
        <v>42966</v>
      </c>
      <c r="L88" s="33">
        <v>38978</v>
      </c>
      <c r="M88" s="34">
        <v>43867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spans="1:30" ht="13">
      <c r="A89" s="29"/>
      <c r="B89" s="30" t="s">
        <v>330</v>
      </c>
      <c r="C89" s="29"/>
      <c r="D89" s="29" t="s">
        <v>331</v>
      </c>
      <c r="E89" s="29"/>
      <c r="F89" s="29"/>
      <c r="G89" s="29" t="s">
        <v>261</v>
      </c>
      <c r="H89" s="29"/>
      <c r="I89" s="29" t="s">
        <v>20</v>
      </c>
      <c r="J89" s="31" t="s">
        <v>332</v>
      </c>
      <c r="K89" s="35"/>
      <c r="L89" s="33"/>
      <c r="M89" s="34">
        <v>43867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spans="1:30" ht="13">
      <c r="A90" s="29"/>
      <c r="B90" s="30" t="s">
        <v>333</v>
      </c>
      <c r="C90" s="29"/>
      <c r="D90" s="29" t="s">
        <v>334</v>
      </c>
      <c r="E90" s="29"/>
      <c r="F90" s="29"/>
      <c r="G90" s="29" t="s">
        <v>261</v>
      </c>
      <c r="H90" s="29"/>
      <c r="I90" s="29" t="s">
        <v>20</v>
      </c>
      <c r="J90" s="31" t="s">
        <v>335</v>
      </c>
      <c r="K90" s="35"/>
      <c r="L90" s="33"/>
      <c r="M90" s="34">
        <v>43867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spans="1:30" ht="13">
      <c r="A91" s="29"/>
      <c r="B91" s="30" t="s">
        <v>336</v>
      </c>
      <c r="C91" s="29"/>
      <c r="D91" s="29" t="s">
        <v>337</v>
      </c>
      <c r="E91" s="29"/>
      <c r="F91" s="29"/>
      <c r="G91" s="29" t="s">
        <v>261</v>
      </c>
      <c r="H91" s="29"/>
      <c r="I91" s="29" t="s">
        <v>20</v>
      </c>
      <c r="J91" s="31" t="s">
        <v>332</v>
      </c>
      <c r="K91" s="35"/>
      <c r="L91" s="33"/>
      <c r="M91" s="34">
        <v>43867</v>
      </c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 ht="13">
      <c r="A92" s="29"/>
      <c r="B92" s="30" t="s">
        <v>338</v>
      </c>
      <c r="C92" s="29"/>
      <c r="D92" s="29" t="s">
        <v>339</v>
      </c>
      <c r="E92" s="29"/>
      <c r="F92" s="29"/>
      <c r="G92" s="29" t="s">
        <v>261</v>
      </c>
      <c r="H92" s="29"/>
      <c r="I92" s="29" t="s">
        <v>20</v>
      </c>
      <c r="J92" s="31" t="s">
        <v>340</v>
      </c>
      <c r="K92" s="35"/>
      <c r="L92" s="33"/>
      <c r="M92" s="34">
        <v>43867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 ht="13">
      <c r="A93" s="29"/>
      <c r="B93" s="30" t="s">
        <v>341</v>
      </c>
      <c r="C93" s="29"/>
      <c r="D93" s="29" t="s">
        <v>342</v>
      </c>
      <c r="E93" s="29"/>
      <c r="F93" s="29"/>
      <c r="G93" s="29" t="s">
        <v>261</v>
      </c>
      <c r="H93" s="29"/>
      <c r="I93" s="29" t="s">
        <v>20</v>
      </c>
      <c r="J93" s="31" t="s">
        <v>343</v>
      </c>
      <c r="K93" s="35"/>
      <c r="L93" s="33"/>
      <c r="M93" s="34">
        <v>43867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1:30" ht="13">
      <c r="A94" s="29"/>
      <c r="B94" s="30" t="s">
        <v>344</v>
      </c>
      <c r="C94" s="29"/>
      <c r="D94" s="29" t="s">
        <v>345</v>
      </c>
      <c r="E94" s="29"/>
      <c r="F94" s="29"/>
      <c r="G94" s="29" t="s">
        <v>261</v>
      </c>
      <c r="H94" s="29"/>
      <c r="I94" s="29" t="s">
        <v>20</v>
      </c>
      <c r="J94" s="31" t="s">
        <v>346</v>
      </c>
      <c r="K94" s="35">
        <v>43174</v>
      </c>
      <c r="L94" s="33">
        <v>38978</v>
      </c>
      <c r="M94" s="34">
        <v>43867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spans="1:30" ht="13">
      <c r="A95" s="29"/>
      <c r="B95" s="30" t="s">
        <v>347</v>
      </c>
      <c r="C95" s="29"/>
      <c r="D95" s="29" t="s">
        <v>348</v>
      </c>
      <c r="E95" s="29"/>
      <c r="F95" s="29"/>
      <c r="G95" s="29" t="s">
        <v>261</v>
      </c>
      <c r="H95" s="29"/>
      <c r="I95" s="29" t="s">
        <v>20</v>
      </c>
      <c r="J95" s="31" t="s">
        <v>349</v>
      </c>
      <c r="K95" s="35"/>
      <c r="L95" s="33"/>
      <c r="M95" s="34">
        <v>43867</v>
      </c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spans="1:30" ht="13">
      <c r="A96" s="29"/>
      <c r="B96" s="30" t="s">
        <v>350</v>
      </c>
      <c r="C96" s="29"/>
      <c r="D96" s="29" t="s">
        <v>351</v>
      </c>
      <c r="E96" s="29"/>
      <c r="F96" s="29"/>
      <c r="G96" s="29" t="s">
        <v>261</v>
      </c>
      <c r="H96" s="29"/>
      <c r="I96" s="29" t="s">
        <v>20</v>
      </c>
      <c r="J96" s="31" t="s">
        <v>352</v>
      </c>
      <c r="K96" s="35"/>
      <c r="L96" s="33"/>
      <c r="M96" s="34">
        <v>43867</v>
      </c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spans="1:30" ht="13">
      <c r="A97" s="29"/>
      <c r="B97" s="30" t="s">
        <v>353</v>
      </c>
      <c r="C97" s="29"/>
      <c r="D97" s="29" t="s">
        <v>354</v>
      </c>
      <c r="E97" s="29"/>
      <c r="F97" s="29"/>
      <c r="G97" s="29" t="s">
        <v>261</v>
      </c>
      <c r="H97" s="29"/>
      <c r="I97" s="29" t="s">
        <v>20</v>
      </c>
      <c r="J97" s="31" t="s">
        <v>355</v>
      </c>
      <c r="K97" s="35">
        <v>43208</v>
      </c>
      <c r="L97" s="33"/>
      <c r="M97" s="34">
        <v>43867</v>
      </c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spans="1:30" ht="13">
      <c r="A98" s="29"/>
      <c r="B98" s="30" t="s">
        <v>356</v>
      </c>
      <c r="C98" s="29"/>
      <c r="D98" s="29" t="s">
        <v>357</v>
      </c>
      <c r="E98" s="29"/>
      <c r="F98" s="29"/>
      <c r="G98" s="29" t="s">
        <v>261</v>
      </c>
      <c r="H98" s="29"/>
      <c r="I98" s="29" t="s">
        <v>20</v>
      </c>
      <c r="J98" s="31" t="s">
        <v>358</v>
      </c>
      <c r="K98" s="35">
        <v>43208</v>
      </c>
      <c r="L98" s="33"/>
      <c r="M98" s="34">
        <v>43867</v>
      </c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 ht="13">
      <c r="A99" s="29"/>
      <c r="B99" s="30" t="s">
        <v>359</v>
      </c>
      <c r="C99" s="29"/>
      <c r="D99" s="29" t="s">
        <v>360</v>
      </c>
      <c r="E99" s="29"/>
      <c r="F99" s="29"/>
      <c r="G99" s="29" t="s">
        <v>261</v>
      </c>
      <c r="H99" s="29"/>
      <c r="I99" s="29" t="s">
        <v>20</v>
      </c>
      <c r="J99" s="31" t="s">
        <v>358</v>
      </c>
      <c r="K99" s="35">
        <v>43208</v>
      </c>
      <c r="L99" s="33"/>
      <c r="M99" s="34">
        <v>43867</v>
      </c>
      <c r="N99" s="32"/>
      <c r="O99" s="38" t="s">
        <v>361</v>
      </c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 ht="13">
      <c r="A100" s="29"/>
      <c r="B100" s="30" t="s">
        <v>362</v>
      </c>
      <c r="C100" s="29"/>
      <c r="D100" s="29" t="s">
        <v>363</v>
      </c>
      <c r="E100" s="29"/>
      <c r="F100" s="29"/>
      <c r="G100" s="29" t="s">
        <v>261</v>
      </c>
      <c r="H100" s="29"/>
      <c r="I100" s="29" t="s">
        <v>20</v>
      </c>
      <c r="J100" s="31" t="s">
        <v>364</v>
      </c>
      <c r="K100" s="35">
        <v>43208</v>
      </c>
      <c r="L100" s="33"/>
      <c r="M100" s="34">
        <v>43867</v>
      </c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spans="1:30" ht="13">
      <c r="A101" s="39"/>
      <c r="B101" s="40" t="s">
        <v>365</v>
      </c>
      <c r="C101" s="39"/>
      <c r="D101" s="39" t="s">
        <v>366</v>
      </c>
      <c r="E101" s="39"/>
      <c r="F101" s="39"/>
      <c r="G101" s="39" t="s">
        <v>367</v>
      </c>
      <c r="H101" s="39" t="s">
        <v>368</v>
      </c>
      <c r="I101" s="39" t="s">
        <v>20</v>
      </c>
      <c r="J101" s="41" t="s">
        <v>369</v>
      </c>
      <c r="K101" s="42"/>
      <c r="L101" s="42"/>
      <c r="M101" s="43">
        <v>43867</v>
      </c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</row>
    <row r="102" spans="1:30" ht="13">
      <c r="A102" s="39"/>
      <c r="B102" s="40" t="s">
        <v>370</v>
      </c>
      <c r="C102" s="39"/>
      <c r="D102" s="39" t="s">
        <v>371</v>
      </c>
      <c r="E102" s="39"/>
      <c r="F102" s="39"/>
      <c r="G102" s="39" t="s">
        <v>367</v>
      </c>
      <c r="H102" s="39" t="s">
        <v>372</v>
      </c>
      <c r="I102" s="39" t="s">
        <v>20</v>
      </c>
      <c r="J102" s="41" t="s">
        <v>373</v>
      </c>
      <c r="K102" s="42"/>
      <c r="L102" s="42" t="s">
        <v>374</v>
      </c>
      <c r="M102" s="43">
        <v>43867</v>
      </c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</row>
    <row r="106" spans="1:30" ht="13">
      <c r="B106" s="19"/>
      <c r="J106" s="13"/>
    </row>
    <row r="107" spans="1:30" ht="13">
      <c r="B107" s="19"/>
      <c r="J107" s="13"/>
    </row>
    <row r="108" spans="1:30" ht="13">
      <c r="B108" s="19"/>
      <c r="J108" s="13"/>
    </row>
    <row r="109" spans="1:30" ht="13">
      <c r="B109" s="19"/>
      <c r="J109" s="13"/>
    </row>
    <row r="110" spans="1:30" ht="13">
      <c r="B110" s="19"/>
      <c r="J110" s="13"/>
    </row>
    <row r="111" spans="1:30" ht="13">
      <c r="B111" s="19"/>
      <c r="J111" s="13"/>
    </row>
    <row r="112" spans="1:30" ht="13">
      <c r="B112" s="19"/>
      <c r="J112" s="13"/>
    </row>
    <row r="113" spans="2:10" ht="13">
      <c r="B113" s="19"/>
      <c r="J113" s="13"/>
    </row>
    <row r="114" spans="2:10" ht="13">
      <c r="B114" s="19"/>
      <c r="J114" s="13"/>
    </row>
    <row r="115" spans="2:10" ht="13">
      <c r="B115" s="19"/>
      <c r="J115" s="13"/>
    </row>
    <row r="116" spans="2:10" ht="13">
      <c r="B116" s="19"/>
      <c r="J116" s="13"/>
    </row>
    <row r="117" spans="2:10" ht="13">
      <c r="B117" s="19"/>
      <c r="J117" s="13"/>
    </row>
    <row r="118" spans="2:10" ht="13">
      <c r="B118" s="19"/>
      <c r="J118" s="13"/>
    </row>
    <row r="119" spans="2:10" ht="13">
      <c r="B119" s="19"/>
      <c r="J119" s="13"/>
    </row>
    <row r="120" spans="2:10" ht="13">
      <c r="B120" s="19"/>
      <c r="J120" s="13"/>
    </row>
    <row r="121" spans="2:10" ht="13">
      <c r="B121" s="19"/>
      <c r="J121" s="13"/>
    </row>
    <row r="122" spans="2:10" ht="13">
      <c r="B122" s="19"/>
      <c r="J122" s="13"/>
    </row>
    <row r="123" spans="2:10" ht="13">
      <c r="B123" s="19"/>
      <c r="J123" s="13"/>
    </row>
    <row r="124" spans="2:10" ht="13">
      <c r="B124" s="19"/>
      <c r="J124" s="13"/>
    </row>
    <row r="125" spans="2:10" ht="13">
      <c r="B125" s="19"/>
      <c r="J125" s="13"/>
    </row>
    <row r="126" spans="2:10" ht="13">
      <c r="B126" s="19"/>
      <c r="J126" s="13"/>
    </row>
    <row r="127" spans="2:10" ht="13">
      <c r="B127" s="19"/>
      <c r="J127" s="13"/>
    </row>
    <row r="128" spans="2:10" ht="13">
      <c r="B128" s="19"/>
      <c r="J128" s="13"/>
    </row>
    <row r="129" spans="2:10" ht="13">
      <c r="B129" s="19"/>
      <c r="J129" s="13"/>
    </row>
    <row r="130" spans="2:10" ht="13">
      <c r="B130" s="19"/>
      <c r="J130" s="13"/>
    </row>
    <row r="131" spans="2:10" ht="13">
      <c r="B131" s="19"/>
      <c r="J131" s="13"/>
    </row>
    <row r="132" spans="2:10" ht="13">
      <c r="B132" s="19"/>
      <c r="J132" s="13"/>
    </row>
    <row r="133" spans="2:10" ht="13">
      <c r="B133" s="19"/>
      <c r="J133" s="13"/>
    </row>
    <row r="134" spans="2:10" ht="13">
      <c r="B134" s="19"/>
      <c r="J134" s="13"/>
    </row>
    <row r="135" spans="2:10" ht="13">
      <c r="B135" s="19"/>
      <c r="J135" s="13"/>
    </row>
    <row r="136" spans="2:10" ht="13">
      <c r="B136" s="19"/>
      <c r="J136" s="13"/>
    </row>
    <row r="137" spans="2:10" ht="13">
      <c r="B137" s="19"/>
      <c r="J137" s="13"/>
    </row>
    <row r="138" spans="2:10" ht="13">
      <c r="B138" s="19"/>
      <c r="J138" s="13"/>
    </row>
    <row r="139" spans="2:10" ht="13">
      <c r="B139" s="19"/>
      <c r="J139" s="13"/>
    </row>
    <row r="140" spans="2:10" ht="13">
      <c r="B140" s="19"/>
      <c r="J140" s="13"/>
    </row>
    <row r="141" spans="2:10" ht="13">
      <c r="B141" s="19"/>
      <c r="J141" s="13"/>
    </row>
    <row r="142" spans="2:10" ht="13">
      <c r="B142" s="19"/>
      <c r="J142" s="13"/>
    </row>
    <row r="143" spans="2:10" ht="13">
      <c r="B143" s="19"/>
      <c r="J143" s="13"/>
    </row>
    <row r="144" spans="2:10" ht="13">
      <c r="B144" s="19"/>
      <c r="J144" s="13"/>
    </row>
    <row r="145" spans="2:10" ht="13">
      <c r="B145" s="19"/>
      <c r="J145" s="13"/>
    </row>
    <row r="146" spans="2:10" ht="13">
      <c r="B146" s="19"/>
      <c r="J146" s="13"/>
    </row>
    <row r="147" spans="2:10" ht="13">
      <c r="B147" s="19"/>
      <c r="J147" s="13"/>
    </row>
    <row r="148" spans="2:10" ht="13">
      <c r="B148" s="19"/>
      <c r="J148" s="13"/>
    </row>
    <row r="149" spans="2:10" ht="13">
      <c r="B149" s="19"/>
      <c r="J149" s="13"/>
    </row>
    <row r="150" spans="2:10" ht="13">
      <c r="B150" s="19"/>
      <c r="J150" s="13"/>
    </row>
    <row r="151" spans="2:10" ht="13">
      <c r="B151" s="19"/>
      <c r="J151" s="13"/>
    </row>
    <row r="152" spans="2:10" ht="13">
      <c r="B152" s="19"/>
      <c r="J152" s="13"/>
    </row>
    <row r="153" spans="2:10" ht="13">
      <c r="B153" s="19"/>
      <c r="J153" s="13"/>
    </row>
    <row r="154" spans="2:10" ht="13">
      <c r="B154" s="19"/>
      <c r="J154" s="13"/>
    </row>
    <row r="155" spans="2:10" ht="13">
      <c r="B155" s="19"/>
      <c r="J155" s="13"/>
    </row>
    <row r="156" spans="2:10" ht="13">
      <c r="B156" s="19"/>
      <c r="J156" s="13"/>
    </row>
    <row r="157" spans="2:10" ht="13">
      <c r="B157" s="19"/>
      <c r="J157" s="13"/>
    </row>
    <row r="158" spans="2:10" ht="13">
      <c r="B158" s="19"/>
      <c r="J158" s="13"/>
    </row>
    <row r="159" spans="2:10" ht="13">
      <c r="B159" s="19"/>
      <c r="J159" s="13"/>
    </row>
    <row r="160" spans="2:10" ht="13">
      <c r="B160" s="19"/>
      <c r="J160" s="13"/>
    </row>
    <row r="161" spans="2:10" ht="13">
      <c r="B161" s="19"/>
      <c r="J161" s="13"/>
    </row>
    <row r="162" spans="2:10" ht="13">
      <c r="B162" s="19"/>
      <c r="J162" s="13"/>
    </row>
    <row r="163" spans="2:10" ht="13">
      <c r="B163" s="19"/>
      <c r="J163" s="13"/>
    </row>
    <row r="164" spans="2:10" ht="13">
      <c r="B164" s="19"/>
      <c r="J164" s="13"/>
    </row>
    <row r="165" spans="2:10" ht="13">
      <c r="B165" s="19"/>
      <c r="J165" s="13"/>
    </row>
    <row r="166" spans="2:10" ht="13">
      <c r="B166" s="19"/>
      <c r="J166" s="13"/>
    </row>
    <row r="167" spans="2:10" ht="13">
      <c r="B167" s="19"/>
      <c r="J167" s="13"/>
    </row>
    <row r="168" spans="2:10" ht="13">
      <c r="B168" s="19"/>
      <c r="J168" s="13"/>
    </row>
    <row r="169" spans="2:10" ht="13">
      <c r="B169" s="19"/>
      <c r="J169" s="13"/>
    </row>
    <row r="170" spans="2:10" ht="13">
      <c r="B170" s="19"/>
      <c r="J170" s="13"/>
    </row>
    <row r="171" spans="2:10" ht="13">
      <c r="B171" s="19"/>
      <c r="J171" s="13"/>
    </row>
    <row r="172" spans="2:10" ht="13">
      <c r="B172" s="19"/>
      <c r="J172" s="13"/>
    </row>
    <row r="173" spans="2:10" ht="13">
      <c r="B173" s="19"/>
      <c r="J173" s="13"/>
    </row>
    <row r="174" spans="2:10" ht="13">
      <c r="B174" s="19"/>
      <c r="J174" s="13"/>
    </row>
    <row r="175" spans="2:10" ht="13">
      <c r="B175" s="19"/>
      <c r="J175" s="13"/>
    </row>
    <row r="176" spans="2:10" ht="13">
      <c r="B176" s="19"/>
      <c r="J176" s="13"/>
    </row>
    <row r="177" spans="2:10" ht="13">
      <c r="B177" s="19"/>
      <c r="J177" s="13"/>
    </row>
    <row r="178" spans="2:10" ht="13">
      <c r="B178" s="19"/>
      <c r="J178" s="13"/>
    </row>
    <row r="179" spans="2:10" ht="13">
      <c r="B179" s="19"/>
      <c r="J179" s="13"/>
    </row>
    <row r="180" spans="2:10" ht="13">
      <c r="B180" s="19"/>
      <c r="J180" s="13"/>
    </row>
    <row r="181" spans="2:10" ht="13">
      <c r="B181" s="19"/>
      <c r="J181" s="13"/>
    </row>
    <row r="182" spans="2:10" ht="13">
      <c r="B182" s="19"/>
      <c r="J182" s="13"/>
    </row>
    <row r="183" spans="2:10" ht="13">
      <c r="B183" s="19"/>
      <c r="J183" s="13"/>
    </row>
    <row r="184" spans="2:10" ht="13">
      <c r="B184" s="19"/>
      <c r="J184" s="13"/>
    </row>
    <row r="185" spans="2:10" ht="13">
      <c r="B185" s="19"/>
      <c r="J185" s="13"/>
    </row>
    <row r="186" spans="2:10" ht="13">
      <c r="B186" s="19"/>
      <c r="J186" s="13"/>
    </row>
    <row r="187" spans="2:10" ht="13">
      <c r="B187" s="19"/>
      <c r="J187" s="13"/>
    </row>
    <row r="188" spans="2:10" ht="13">
      <c r="B188" s="19"/>
      <c r="J188" s="13"/>
    </row>
    <row r="189" spans="2:10" ht="13">
      <c r="B189" s="19"/>
      <c r="J189" s="13"/>
    </row>
    <row r="190" spans="2:10" ht="13">
      <c r="B190" s="19"/>
      <c r="J190" s="13"/>
    </row>
    <row r="191" spans="2:10" ht="13">
      <c r="B191" s="19"/>
      <c r="J191" s="13"/>
    </row>
    <row r="192" spans="2:10" ht="13">
      <c r="B192" s="19"/>
      <c r="J192" s="13"/>
    </row>
    <row r="193" spans="2:10" ht="13">
      <c r="B193" s="19"/>
      <c r="J193" s="13"/>
    </row>
    <row r="194" spans="2:10" ht="13">
      <c r="B194" s="19"/>
      <c r="J194" s="13"/>
    </row>
    <row r="195" spans="2:10" ht="13">
      <c r="B195" s="19"/>
      <c r="J195" s="13"/>
    </row>
    <row r="196" spans="2:10" ht="13">
      <c r="B196" s="19"/>
      <c r="J196" s="13"/>
    </row>
    <row r="197" spans="2:10" ht="13">
      <c r="B197" s="19"/>
      <c r="J197" s="13"/>
    </row>
    <row r="198" spans="2:10" ht="13">
      <c r="B198" s="19"/>
      <c r="J198" s="13"/>
    </row>
    <row r="199" spans="2:10" ht="13">
      <c r="B199" s="19"/>
      <c r="J199" s="13"/>
    </row>
    <row r="200" spans="2:10" ht="13">
      <c r="B200" s="19"/>
      <c r="J200" s="13"/>
    </row>
    <row r="201" spans="2:10" ht="13">
      <c r="B201" s="19"/>
      <c r="J201" s="13"/>
    </row>
    <row r="202" spans="2:10" ht="13">
      <c r="B202" s="19"/>
      <c r="J202" s="13"/>
    </row>
    <row r="203" spans="2:10" ht="13">
      <c r="B203" s="19"/>
      <c r="J203" s="13"/>
    </row>
    <row r="204" spans="2:10" ht="13">
      <c r="B204" s="19"/>
      <c r="J204" s="13"/>
    </row>
    <row r="205" spans="2:10" ht="13">
      <c r="B205" s="19"/>
      <c r="J205" s="13"/>
    </row>
    <row r="206" spans="2:10" ht="13">
      <c r="B206" s="19"/>
      <c r="J206" s="13"/>
    </row>
    <row r="207" spans="2:10" ht="13">
      <c r="B207" s="19"/>
      <c r="J207" s="13"/>
    </row>
    <row r="208" spans="2:10" ht="13">
      <c r="B208" s="19"/>
      <c r="J208" s="13"/>
    </row>
    <row r="209" spans="2:10" ht="13">
      <c r="B209" s="19"/>
      <c r="J209" s="13"/>
    </row>
    <row r="210" spans="2:10" ht="13">
      <c r="B210" s="19"/>
      <c r="J210" s="13"/>
    </row>
    <row r="211" spans="2:10" ht="13">
      <c r="B211" s="19"/>
      <c r="J211" s="13"/>
    </row>
    <row r="212" spans="2:10" ht="13">
      <c r="B212" s="19"/>
      <c r="J212" s="13"/>
    </row>
    <row r="213" spans="2:10" ht="13">
      <c r="B213" s="19"/>
      <c r="J213" s="13"/>
    </row>
    <row r="214" spans="2:10" ht="13">
      <c r="B214" s="19"/>
      <c r="J214" s="13"/>
    </row>
    <row r="215" spans="2:10" ht="13">
      <c r="B215" s="19"/>
      <c r="J215" s="13"/>
    </row>
    <row r="216" spans="2:10" ht="13">
      <c r="B216" s="19"/>
      <c r="J216" s="13"/>
    </row>
    <row r="217" spans="2:10" ht="13">
      <c r="B217" s="19"/>
      <c r="J217" s="13"/>
    </row>
    <row r="218" spans="2:10" ht="13">
      <c r="B218" s="19"/>
      <c r="J218" s="13"/>
    </row>
    <row r="219" spans="2:10" ht="13">
      <c r="B219" s="19"/>
      <c r="J219" s="13"/>
    </row>
    <row r="220" spans="2:10" ht="13">
      <c r="B220" s="19"/>
      <c r="J220" s="13"/>
    </row>
    <row r="221" spans="2:10" ht="13">
      <c r="B221" s="19"/>
      <c r="J221" s="13"/>
    </row>
    <row r="222" spans="2:10" ht="13">
      <c r="B222" s="19"/>
      <c r="J222" s="13"/>
    </row>
    <row r="223" spans="2:10" ht="13">
      <c r="B223" s="19"/>
      <c r="J223" s="13"/>
    </row>
    <row r="224" spans="2:10" ht="13">
      <c r="B224" s="19"/>
      <c r="J224" s="13"/>
    </row>
    <row r="225" spans="2:10" ht="13">
      <c r="B225" s="19"/>
      <c r="J225" s="13"/>
    </row>
    <row r="226" spans="2:10" ht="13">
      <c r="B226" s="19"/>
      <c r="J226" s="13"/>
    </row>
    <row r="227" spans="2:10" ht="13">
      <c r="B227" s="19"/>
      <c r="J227" s="13"/>
    </row>
    <row r="228" spans="2:10" ht="13">
      <c r="B228" s="19"/>
      <c r="J228" s="13"/>
    </row>
    <row r="229" spans="2:10" ht="13">
      <c r="B229" s="19"/>
      <c r="J229" s="13"/>
    </row>
    <row r="230" spans="2:10" ht="13">
      <c r="B230" s="19"/>
      <c r="J230" s="13"/>
    </row>
    <row r="231" spans="2:10" ht="13">
      <c r="B231" s="19"/>
      <c r="J231" s="13"/>
    </row>
    <row r="232" spans="2:10" ht="13">
      <c r="B232" s="19"/>
      <c r="J232" s="13"/>
    </row>
    <row r="233" spans="2:10" ht="13">
      <c r="B233" s="19"/>
      <c r="J233" s="13"/>
    </row>
    <row r="234" spans="2:10" ht="13">
      <c r="B234" s="19"/>
      <c r="J234" s="13"/>
    </row>
    <row r="235" spans="2:10" ht="13">
      <c r="B235" s="19"/>
      <c r="J235" s="13"/>
    </row>
    <row r="236" spans="2:10" ht="13">
      <c r="B236" s="19"/>
      <c r="J236" s="13"/>
    </row>
    <row r="237" spans="2:10" ht="13">
      <c r="B237" s="19"/>
      <c r="J237" s="13"/>
    </row>
    <row r="238" spans="2:10" ht="13">
      <c r="B238" s="19"/>
      <c r="J238" s="13"/>
    </row>
    <row r="239" spans="2:10" ht="13">
      <c r="B239" s="19"/>
      <c r="J239" s="13"/>
    </row>
    <row r="240" spans="2:10" ht="13">
      <c r="B240" s="19"/>
      <c r="J240" s="13"/>
    </row>
    <row r="241" spans="2:10" ht="13">
      <c r="B241" s="19"/>
      <c r="J241" s="13"/>
    </row>
    <row r="242" spans="2:10" ht="13">
      <c r="B242" s="19"/>
      <c r="J242" s="13"/>
    </row>
    <row r="243" spans="2:10" ht="13">
      <c r="B243" s="19"/>
      <c r="J243" s="13"/>
    </row>
    <row r="244" spans="2:10" ht="13">
      <c r="B244" s="19"/>
      <c r="J244" s="13"/>
    </row>
    <row r="245" spans="2:10" ht="13">
      <c r="B245" s="19"/>
      <c r="J245" s="13"/>
    </row>
    <row r="246" spans="2:10" ht="13">
      <c r="B246" s="19"/>
      <c r="J246" s="13"/>
    </row>
    <row r="247" spans="2:10" ht="13">
      <c r="B247" s="19"/>
      <c r="J247" s="13"/>
    </row>
    <row r="248" spans="2:10" ht="13">
      <c r="B248" s="19"/>
      <c r="J248" s="13"/>
    </row>
    <row r="249" spans="2:10" ht="13">
      <c r="B249" s="19"/>
      <c r="J249" s="13"/>
    </row>
    <row r="250" spans="2:10" ht="13">
      <c r="B250" s="19"/>
      <c r="J250" s="13"/>
    </row>
    <row r="251" spans="2:10" ht="13">
      <c r="B251" s="19"/>
      <c r="J251" s="13"/>
    </row>
    <row r="252" spans="2:10" ht="13">
      <c r="B252" s="19"/>
      <c r="J252" s="13"/>
    </row>
    <row r="253" spans="2:10" ht="13">
      <c r="B253" s="19"/>
      <c r="J253" s="13"/>
    </row>
    <row r="254" spans="2:10" ht="13">
      <c r="B254" s="19"/>
      <c r="J254" s="13"/>
    </row>
    <row r="255" spans="2:10" ht="13">
      <c r="B255" s="19"/>
      <c r="J255" s="13"/>
    </row>
    <row r="256" spans="2:10" ht="13">
      <c r="B256" s="19"/>
      <c r="J256" s="13"/>
    </row>
    <row r="257" spans="2:10" ht="13">
      <c r="B257" s="19"/>
      <c r="J257" s="13"/>
    </row>
    <row r="258" spans="2:10" ht="13">
      <c r="B258" s="19"/>
      <c r="J258" s="13"/>
    </row>
    <row r="259" spans="2:10" ht="13">
      <c r="B259" s="19"/>
      <c r="J259" s="13"/>
    </row>
    <row r="260" spans="2:10" ht="13">
      <c r="B260" s="19"/>
      <c r="J260" s="13"/>
    </row>
    <row r="261" spans="2:10" ht="13">
      <c r="B261" s="19"/>
      <c r="J261" s="13"/>
    </row>
    <row r="262" spans="2:10" ht="13">
      <c r="B262" s="19"/>
      <c r="J262" s="13"/>
    </row>
    <row r="263" spans="2:10" ht="13">
      <c r="B263" s="19"/>
      <c r="J263" s="13"/>
    </row>
    <row r="264" spans="2:10" ht="13">
      <c r="B264" s="19"/>
      <c r="J264" s="13"/>
    </row>
    <row r="265" spans="2:10" ht="13">
      <c r="B265" s="19"/>
      <c r="J265" s="13"/>
    </row>
    <row r="266" spans="2:10" ht="13">
      <c r="B266" s="19"/>
      <c r="J266" s="13"/>
    </row>
    <row r="267" spans="2:10" ht="13">
      <c r="B267" s="19"/>
      <c r="J267" s="13"/>
    </row>
    <row r="268" spans="2:10" ht="13">
      <c r="B268" s="19"/>
      <c r="J268" s="13"/>
    </row>
    <row r="269" spans="2:10" ht="13">
      <c r="B269" s="19"/>
      <c r="J269" s="13"/>
    </row>
    <row r="270" spans="2:10" ht="13">
      <c r="B270" s="19"/>
      <c r="J270" s="13"/>
    </row>
    <row r="271" spans="2:10" ht="13">
      <c r="B271" s="19"/>
      <c r="J271" s="13"/>
    </row>
    <row r="272" spans="2:10" ht="13">
      <c r="B272" s="19"/>
      <c r="J272" s="13"/>
    </row>
    <row r="273" spans="2:10" ht="13">
      <c r="B273" s="19"/>
      <c r="J273" s="13"/>
    </row>
    <row r="274" spans="2:10" ht="13">
      <c r="B274" s="19"/>
      <c r="J274" s="13"/>
    </row>
    <row r="275" spans="2:10" ht="13">
      <c r="B275" s="19"/>
      <c r="J275" s="13"/>
    </row>
    <row r="276" spans="2:10" ht="13">
      <c r="B276" s="19"/>
      <c r="J276" s="13"/>
    </row>
    <row r="277" spans="2:10" ht="13">
      <c r="B277" s="19"/>
      <c r="J277" s="13"/>
    </row>
    <row r="278" spans="2:10" ht="13">
      <c r="B278" s="19"/>
      <c r="J278" s="13"/>
    </row>
    <row r="279" spans="2:10" ht="13">
      <c r="B279" s="19"/>
      <c r="J279" s="13"/>
    </row>
    <row r="280" spans="2:10" ht="13">
      <c r="B280" s="19"/>
      <c r="J280" s="13"/>
    </row>
    <row r="281" spans="2:10" ht="13">
      <c r="B281" s="19"/>
      <c r="J281" s="13"/>
    </row>
    <row r="282" spans="2:10" ht="13">
      <c r="B282" s="19"/>
      <c r="J282" s="13"/>
    </row>
    <row r="283" spans="2:10" ht="13">
      <c r="B283" s="19"/>
      <c r="J283" s="13"/>
    </row>
    <row r="284" spans="2:10" ht="13">
      <c r="B284" s="19"/>
      <c r="J284" s="13"/>
    </row>
    <row r="285" spans="2:10" ht="13">
      <c r="B285" s="19"/>
      <c r="J285" s="13"/>
    </row>
    <row r="286" spans="2:10" ht="13">
      <c r="B286" s="19"/>
      <c r="J286" s="13"/>
    </row>
    <row r="287" spans="2:10" ht="13">
      <c r="B287" s="19"/>
      <c r="J287" s="13"/>
    </row>
    <row r="288" spans="2:10" ht="13">
      <c r="B288" s="19"/>
      <c r="J288" s="13"/>
    </row>
    <row r="289" spans="2:10" ht="13">
      <c r="B289" s="19"/>
      <c r="J289" s="13"/>
    </row>
    <row r="290" spans="2:10" ht="13">
      <c r="B290" s="19"/>
      <c r="J290" s="13"/>
    </row>
    <row r="291" spans="2:10" ht="13">
      <c r="B291" s="19"/>
      <c r="J291" s="13"/>
    </row>
    <row r="292" spans="2:10" ht="13">
      <c r="B292" s="19"/>
      <c r="J292" s="13"/>
    </row>
    <row r="293" spans="2:10" ht="13">
      <c r="B293" s="19"/>
      <c r="J293" s="13"/>
    </row>
    <row r="294" spans="2:10" ht="13">
      <c r="B294" s="19"/>
      <c r="J294" s="13"/>
    </row>
    <row r="295" spans="2:10" ht="13">
      <c r="B295" s="19"/>
      <c r="J295" s="13"/>
    </row>
    <row r="296" spans="2:10" ht="13">
      <c r="B296" s="19"/>
      <c r="J296" s="13"/>
    </row>
    <row r="297" spans="2:10" ht="13">
      <c r="B297" s="19"/>
      <c r="J297" s="13"/>
    </row>
    <row r="298" spans="2:10" ht="13">
      <c r="B298" s="19"/>
      <c r="J298" s="13"/>
    </row>
    <row r="299" spans="2:10" ht="13">
      <c r="B299" s="19"/>
      <c r="J299" s="13"/>
    </row>
    <row r="300" spans="2:10" ht="13">
      <c r="B300" s="19"/>
      <c r="J300" s="13"/>
    </row>
    <row r="301" spans="2:10" ht="13">
      <c r="B301" s="19"/>
      <c r="J301" s="13"/>
    </row>
    <row r="302" spans="2:10" ht="13">
      <c r="B302" s="19"/>
      <c r="J302" s="13"/>
    </row>
    <row r="303" spans="2:10" ht="13">
      <c r="B303" s="19"/>
      <c r="J303" s="13"/>
    </row>
    <row r="304" spans="2:10" ht="13">
      <c r="B304" s="19"/>
      <c r="J304" s="13"/>
    </row>
    <row r="305" spans="2:10" ht="13">
      <c r="B305" s="19"/>
      <c r="J305" s="13"/>
    </row>
    <row r="306" spans="2:10" ht="13">
      <c r="B306" s="19"/>
      <c r="J306" s="13"/>
    </row>
    <row r="307" spans="2:10" ht="13">
      <c r="B307" s="19"/>
      <c r="J307" s="13"/>
    </row>
    <row r="308" spans="2:10" ht="13">
      <c r="B308" s="19"/>
      <c r="J308" s="13"/>
    </row>
    <row r="309" spans="2:10" ht="13">
      <c r="B309" s="19"/>
      <c r="J309" s="13"/>
    </row>
    <row r="310" spans="2:10" ht="13">
      <c r="B310" s="19"/>
      <c r="J310" s="13"/>
    </row>
    <row r="311" spans="2:10" ht="13">
      <c r="B311" s="19"/>
      <c r="J311" s="13"/>
    </row>
    <row r="312" spans="2:10" ht="13">
      <c r="B312" s="19"/>
      <c r="J312" s="13"/>
    </row>
    <row r="313" spans="2:10" ht="13">
      <c r="B313" s="19"/>
      <c r="J313" s="13"/>
    </row>
    <row r="314" spans="2:10" ht="13">
      <c r="B314" s="19"/>
      <c r="J314" s="13"/>
    </row>
    <row r="315" spans="2:10" ht="13">
      <c r="B315" s="19"/>
      <c r="J315" s="13"/>
    </row>
    <row r="316" spans="2:10" ht="13">
      <c r="B316" s="19"/>
      <c r="J316" s="13"/>
    </row>
    <row r="317" spans="2:10" ht="13">
      <c r="B317" s="19"/>
      <c r="J317" s="13"/>
    </row>
    <row r="318" spans="2:10" ht="13">
      <c r="B318" s="19"/>
      <c r="J318" s="13"/>
    </row>
    <row r="319" spans="2:10" ht="13">
      <c r="B319" s="19"/>
      <c r="J319" s="13"/>
    </row>
    <row r="320" spans="2:10" ht="13">
      <c r="B320" s="19"/>
      <c r="J320" s="13"/>
    </row>
    <row r="321" spans="2:10" ht="13">
      <c r="B321" s="19"/>
      <c r="J321" s="13"/>
    </row>
    <row r="322" spans="2:10" ht="13">
      <c r="B322" s="19"/>
      <c r="J322" s="13"/>
    </row>
    <row r="323" spans="2:10" ht="13">
      <c r="B323" s="19"/>
      <c r="J323" s="13"/>
    </row>
    <row r="324" spans="2:10" ht="13">
      <c r="B324" s="19"/>
      <c r="J324" s="13"/>
    </row>
    <row r="325" spans="2:10" ht="13">
      <c r="B325" s="19"/>
      <c r="J325" s="13"/>
    </row>
    <row r="326" spans="2:10" ht="13">
      <c r="B326" s="19"/>
      <c r="J326" s="13"/>
    </row>
    <row r="327" spans="2:10" ht="13">
      <c r="B327" s="19"/>
      <c r="J327" s="13"/>
    </row>
    <row r="328" spans="2:10" ht="13">
      <c r="B328" s="19"/>
      <c r="J328" s="13"/>
    </row>
    <row r="329" spans="2:10" ht="13">
      <c r="B329" s="19"/>
      <c r="J329" s="13"/>
    </row>
    <row r="330" spans="2:10" ht="13">
      <c r="B330" s="19"/>
      <c r="J330" s="13"/>
    </row>
    <row r="331" spans="2:10" ht="13">
      <c r="B331" s="19"/>
      <c r="J331" s="13"/>
    </row>
    <row r="332" spans="2:10" ht="13">
      <c r="B332" s="19"/>
      <c r="J332" s="13"/>
    </row>
    <row r="333" spans="2:10" ht="13">
      <c r="B333" s="19"/>
      <c r="J333" s="13"/>
    </row>
    <row r="334" spans="2:10" ht="13">
      <c r="B334" s="19"/>
      <c r="J334" s="13"/>
    </row>
    <row r="335" spans="2:10" ht="13">
      <c r="B335" s="19"/>
      <c r="J335" s="13"/>
    </row>
    <row r="336" spans="2:10" ht="13">
      <c r="B336" s="19"/>
      <c r="J336" s="13"/>
    </row>
    <row r="337" spans="2:10" ht="13">
      <c r="B337" s="19"/>
      <c r="J337" s="13"/>
    </row>
    <row r="338" spans="2:10" ht="13">
      <c r="B338" s="19"/>
      <c r="J338" s="13"/>
    </row>
    <row r="339" spans="2:10" ht="13">
      <c r="B339" s="19"/>
      <c r="J339" s="13"/>
    </row>
    <row r="340" spans="2:10" ht="13">
      <c r="B340" s="19"/>
      <c r="J340" s="13"/>
    </row>
    <row r="341" spans="2:10" ht="13">
      <c r="B341" s="19"/>
      <c r="J341" s="13"/>
    </row>
    <row r="342" spans="2:10" ht="13">
      <c r="B342" s="19"/>
      <c r="J342" s="13"/>
    </row>
    <row r="343" spans="2:10" ht="13">
      <c r="B343" s="19"/>
      <c r="J343" s="13"/>
    </row>
    <row r="344" spans="2:10" ht="13">
      <c r="B344" s="19"/>
      <c r="J344" s="13"/>
    </row>
    <row r="345" spans="2:10" ht="13">
      <c r="B345" s="19"/>
      <c r="J345" s="13"/>
    </row>
    <row r="346" spans="2:10" ht="13">
      <c r="B346" s="19"/>
      <c r="J346" s="13"/>
    </row>
    <row r="347" spans="2:10" ht="13">
      <c r="B347" s="19"/>
      <c r="J347" s="13"/>
    </row>
    <row r="348" spans="2:10" ht="13">
      <c r="B348" s="19"/>
      <c r="J348" s="13"/>
    </row>
    <row r="349" spans="2:10" ht="13">
      <c r="B349" s="19"/>
      <c r="J349" s="13"/>
    </row>
    <row r="350" spans="2:10" ht="13">
      <c r="B350" s="19"/>
      <c r="J350" s="13"/>
    </row>
    <row r="351" spans="2:10" ht="13">
      <c r="B351" s="19"/>
      <c r="J351" s="13"/>
    </row>
    <row r="352" spans="2:10" ht="13">
      <c r="B352" s="19"/>
      <c r="J352" s="13"/>
    </row>
    <row r="353" spans="2:10" ht="13">
      <c r="B353" s="19"/>
      <c r="J353" s="13"/>
    </row>
    <row r="354" spans="2:10" ht="13">
      <c r="B354" s="19"/>
      <c r="J354" s="13"/>
    </row>
    <row r="355" spans="2:10" ht="13">
      <c r="B355" s="19"/>
      <c r="J355" s="13"/>
    </row>
    <row r="356" spans="2:10" ht="13">
      <c r="B356" s="19"/>
      <c r="J356" s="13"/>
    </row>
    <row r="357" spans="2:10" ht="13">
      <c r="B357" s="19"/>
      <c r="J357" s="13"/>
    </row>
    <row r="358" spans="2:10" ht="13">
      <c r="B358" s="19"/>
      <c r="J358" s="13"/>
    </row>
    <row r="359" spans="2:10" ht="13">
      <c r="B359" s="19"/>
      <c r="J359" s="13"/>
    </row>
    <row r="360" spans="2:10" ht="13">
      <c r="B360" s="19"/>
      <c r="J360" s="13"/>
    </row>
    <row r="361" spans="2:10" ht="13">
      <c r="B361" s="19"/>
      <c r="J361" s="13"/>
    </row>
    <row r="362" spans="2:10" ht="13">
      <c r="B362" s="19"/>
      <c r="J362" s="13"/>
    </row>
    <row r="363" spans="2:10" ht="13">
      <c r="B363" s="19"/>
      <c r="J363" s="13"/>
    </row>
    <row r="364" spans="2:10" ht="13">
      <c r="B364" s="19"/>
      <c r="J364" s="13"/>
    </row>
    <row r="365" spans="2:10" ht="13">
      <c r="B365" s="19"/>
      <c r="J365" s="13"/>
    </row>
    <row r="366" spans="2:10" ht="13">
      <c r="B366" s="19"/>
      <c r="J366" s="13"/>
    </row>
    <row r="367" spans="2:10" ht="13">
      <c r="B367" s="19"/>
      <c r="J367" s="13"/>
    </row>
    <row r="368" spans="2:10" ht="13">
      <c r="B368" s="19"/>
      <c r="J368" s="13"/>
    </row>
    <row r="369" spans="2:10" ht="13">
      <c r="B369" s="19"/>
      <c r="J369" s="13"/>
    </row>
    <row r="370" spans="2:10" ht="13">
      <c r="B370" s="19"/>
      <c r="J370" s="13"/>
    </row>
    <row r="371" spans="2:10" ht="13">
      <c r="B371" s="19"/>
      <c r="J371" s="13"/>
    </row>
    <row r="372" spans="2:10" ht="13">
      <c r="B372" s="19"/>
      <c r="J372" s="13"/>
    </row>
    <row r="373" spans="2:10" ht="13">
      <c r="B373" s="19"/>
      <c r="J373" s="13"/>
    </row>
    <row r="374" spans="2:10" ht="13">
      <c r="B374" s="19"/>
      <c r="J374" s="13"/>
    </row>
    <row r="375" spans="2:10" ht="13">
      <c r="B375" s="19"/>
      <c r="J375" s="13"/>
    </row>
    <row r="376" spans="2:10" ht="13">
      <c r="B376" s="19"/>
      <c r="J376" s="13"/>
    </row>
    <row r="377" spans="2:10" ht="13">
      <c r="B377" s="19"/>
      <c r="J377" s="13"/>
    </row>
    <row r="378" spans="2:10" ht="13">
      <c r="B378" s="19"/>
      <c r="J378" s="13"/>
    </row>
    <row r="379" spans="2:10" ht="13">
      <c r="B379" s="19"/>
      <c r="J379" s="13"/>
    </row>
    <row r="380" spans="2:10" ht="13">
      <c r="B380" s="19"/>
      <c r="J380" s="13"/>
    </row>
    <row r="381" spans="2:10" ht="13">
      <c r="B381" s="19"/>
      <c r="J381" s="13"/>
    </row>
    <row r="382" spans="2:10" ht="13">
      <c r="B382" s="19"/>
      <c r="J382" s="13"/>
    </row>
    <row r="383" spans="2:10" ht="13">
      <c r="B383" s="19"/>
      <c r="J383" s="13"/>
    </row>
    <row r="384" spans="2:10" ht="13">
      <c r="B384" s="19"/>
      <c r="J384" s="13"/>
    </row>
    <row r="385" spans="2:10" ht="13">
      <c r="B385" s="19"/>
      <c r="J385" s="13"/>
    </row>
    <row r="386" spans="2:10" ht="13">
      <c r="B386" s="19"/>
      <c r="J386" s="13"/>
    </row>
    <row r="387" spans="2:10" ht="13">
      <c r="B387" s="19"/>
      <c r="J387" s="13"/>
    </row>
    <row r="388" spans="2:10" ht="13">
      <c r="B388" s="19"/>
      <c r="J388" s="13"/>
    </row>
    <row r="389" spans="2:10" ht="13">
      <c r="B389" s="19"/>
      <c r="J389" s="13"/>
    </row>
    <row r="390" spans="2:10" ht="13">
      <c r="B390" s="19"/>
      <c r="J390" s="13"/>
    </row>
    <row r="391" spans="2:10" ht="13">
      <c r="B391" s="19"/>
      <c r="J391" s="13"/>
    </row>
    <row r="392" spans="2:10" ht="13">
      <c r="B392" s="19"/>
      <c r="J392" s="13"/>
    </row>
    <row r="393" spans="2:10" ht="13">
      <c r="B393" s="19"/>
      <c r="J393" s="13"/>
    </row>
    <row r="394" spans="2:10" ht="13">
      <c r="B394" s="19"/>
      <c r="J394" s="13"/>
    </row>
    <row r="395" spans="2:10" ht="13">
      <c r="B395" s="19"/>
      <c r="J395" s="13"/>
    </row>
    <row r="396" spans="2:10" ht="13">
      <c r="B396" s="19"/>
      <c r="J396" s="13"/>
    </row>
    <row r="397" spans="2:10" ht="13">
      <c r="B397" s="19"/>
      <c r="J397" s="13"/>
    </row>
    <row r="398" spans="2:10" ht="13">
      <c r="B398" s="19"/>
      <c r="J398" s="13"/>
    </row>
    <row r="399" spans="2:10" ht="13">
      <c r="B399" s="19"/>
      <c r="J399" s="13"/>
    </row>
    <row r="400" spans="2:10" ht="13">
      <c r="B400" s="19"/>
      <c r="J400" s="13"/>
    </row>
    <row r="401" spans="2:10" ht="13">
      <c r="B401" s="19"/>
      <c r="J401" s="13"/>
    </row>
    <row r="402" spans="2:10" ht="13">
      <c r="B402" s="19"/>
      <c r="J402" s="13"/>
    </row>
    <row r="403" spans="2:10" ht="13">
      <c r="B403" s="19"/>
      <c r="J403" s="13"/>
    </row>
    <row r="404" spans="2:10" ht="13">
      <c r="B404" s="19"/>
      <c r="J404" s="13"/>
    </row>
    <row r="405" spans="2:10" ht="13">
      <c r="B405" s="19"/>
      <c r="J405" s="13"/>
    </row>
    <row r="406" spans="2:10" ht="13">
      <c r="B406" s="19"/>
      <c r="J406" s="13"/>
    </row>
    <row r="407" spans="2:10" ht="13">
      <c r="B407" s="19"/>
      <c r="J407" s="13"/>
    </row>
    <row r="408" spans="2:10" ht="13">
      <c r="B408" s="19"/>
      <c r="J408" s="13"/>
    </row>
    <row r="409" spans="2:10" ht="13">
      <c r="B409" s="19"/>
      <c r="J409" s="13"/>
    </row>
    <row r="410" spans="2:10" ht="13">
      <c r="B410" s="19"/>
      <c r="J410" s="13"/>
    </row>
    <row r="411" spans="2:10" ht="13">
      <c r="B411" s="19"/>
      <c r="J411" s="13"/>
    </row>
    <row r="412" spans="2:10" ht="13">
      <c r="B412" s="19"/>
      <c r="J412" s="13"/>
    </row>
    <row r="413" spans="2:10" ht="13">
      <c r="B413" s="19"/>
      <c r="J413" s="13"/>
    </row>
    <row r="414" spans="2:10" ht="13">
      <c r="B414" s="19"/>
      <c r="J414" s="13"/>
    </row>
    <row r="415" spans="2:10" ht="13">
      <c r="B415" s="19"/>
      <c r="J415" s="13"/>
    </row>
    <row r="416" spans="2:10" ht="13">
      <c r="B416" s="19"/>
      <c r="J416" s="13"/>
    </row>
    <row r="417" spans="2:10" ht="13">
      <c r="B417" s="19"/>
      <c r="J417" s="13"/>
    </row>
    <row r="418" spans="2:10" ht="13">
      <c r="B418" s="19"/>
      <c r="J418" s="13"/>
    </row>
    <row r="419" spans="2:10" ht="13">
      <c r="B419" s="19"/>
      <c r="J419" s="13"/>
    </row>
    <row r="420" spans="2:10" ht="13">
      <c r="B420" s="19"/>
      <c r="J420" s="13"/>
    </row>
    <row r="421" spans="2:10" ht="13">
      <c r="B421" s="19"/>
      <c r="J421" s="13"/>
    </row>
    <row r="422" spans="2:10" ht="13">
      <c r="B422" s="19"/>
      <c r="J422" s="13"/>
    </row>
    <row r="423" spans="2:10" ht="13">
      <c r="B423" s="19"/>
      <c r="J423" s="13"/>
    </row>
    <row r="424" spans="2:10" ht="13">
      <c r="B424" s="19"/>
      <c r="J424" s="13"/>
    </row>
    <row r="425" spans="2:10" ht="13">
      <c r="B425" s="19"/>
      <c r="J425" s="13"/>
    </row>
    <row r="426" spans="2:10" ht="13">
      <c r="B426" s="19"/>
      <c r="J426" s="13"/>
    </row>
    <row r="427" spans="2:10" ht="13">
      <c r="B427" s="19"/>
      <c r="J427" s="13"/>
    </row>
    <row r="428" spans="2:10" ht="13">
      <c r="B428" s="19"/>
      <c r="J428" s="13"/>
    </row>
    <row r="429" spans="2:10" ht="13">
      <c r="B429" s="19"/>
      <c r="J429" s="13"/>
    </row>
    <row r="430" spans="2:10" ht="13">
      <c r="B430" s="19"/>
      <c r="J430" s="13"/>
    </row>
    <row r="431" spans="2:10" ht="13">
      <c r="B431" s="19"/>
      <c r="J431" s="13"/>
    </row>
    <row r="432" spans="2:10" ht="13">
      <c r="B432" s="19"/>
      <c r="J432" s="13"/>
    </row>
    <row r="433" spans="2:10" ht="13">
      <c r="B433" s="19"/>
      <c r="J433" s="13"/>
    </row>
    <row r="434" spans="2:10" ht="13">
      <c r="B434" s="19"/>
      <c r="J434" s="13"/>
    </row>
    <row r="435" spans="2:10" ht="13">
      <c r="B435" s="19"/>
      <c r="J435" s="13"/>
    </row>
    <row r="436" spans="2:10" ht="13">
      <c r="B436" s="19"/>
      <c r="J436" s="13"/>
    </row>
    <row r="437" spans="2:10" ht="13">
      <c r="B437" s="19"/>
      <c r="J437" s="13"/>
    </row>
    <row r="438" spans="2:10" ht="13">
      <c r="B438" s="19"/>
      <c r="J438" s="13"/>
    </row>
    <row r="439" spans="2:10" ht="13">
      <c r="B439" s="19"/>
      <c r="J439" s="13"/>
    </row>
    <row r="440" spans="2:10" ht="13">
      <c r="B440" s="19"/>
      <c r="J440" s="13"/>
    </row>
    <row r="441" spans="2:10" ht="13">
      <c r="B441" s="19"/>
      <c r="J441" s="13"/>
    </row>
    <row r="442" spans="2:10" ht="13">
      <c r="B442" s="19"/>
      <c r="J442" s="13"/>
    </row>
    <row r="443" spans="2:10" ht="13">
      <c r="B443" s="19"/>
      <c r="J443" s="13"/>
    </row>
    <row r="444" spans="2:10" ht="13">
      <c r="B444" s="19"/>
      <c r="J444" s="13"/>
    </row>
    <row r="445" spans="2:10" ht="13">
      <c r="B445" s="19"/>
      <c r="J445" s="13"/>
    </row>
    <row r="446" spans="2:10" ht="13">
      <c r="B446" s="19"/>
      <c r="J446" s="13"/>
    </row>
    <row r="447" spans="2:10" ht="13">
      <c r="B447" s="19"/>
      <c r="J447" s="13"/>
    </row>
    <row r="448" spans="2:10" ht="13">
      <c r="B448" s="19"/>
      <c r="J448" s="13"/>
    </row>
    <row r="449" spans="2:10" ht="13">
      <c r="B449" s="19"/>
      <c r="J449" s="13"/>
    </row>
    <row r="450" spans="2:10" ht="13">
      <c r="B450" s="19"/>
      <c r="J450" s="13"/>
    </row>
    <row r="451" spans="2:10" ht="13">
      <c r="B451" s="19"/>
      <c r="J451" s="13"/>
    </row>
    <row r="452" spans="2:10" ht="13">
      <c r="B452" s="19"/>
      <c r="J452" s="13"/>
    </row>
    <row r="453" spans="2:10" ht="13">
      <c r="B453" s="19"/>
      <c r="J453" s="13"/>
    </row>
    <row r="454" spans="2:10" ht="13">
      <c r="B454" s="19"/>
      <c r="J454" s="13"/>
    </row>
    <row r="455" spans="2:10" ht="13">
      <c r="B455" s="19"/>
      <c r="J455" s="13"/>
    </row>
    <row r="456" spans="2:10" ht="13">
      <c r="B456" s="19"/>
      <c r="J456" s="13"/>
    </row>
    <row r="457" spans="2:10" ht="13">
      <c r="B457" s="19"/>
      <c r="J457" s="13"/>
    </row>
    <row r="458" spans="2:10" ht="13">
      <c r="B458" s="19"/>
      <c r="J458" s="13"/>
    </row>
    <row r="459" spans="2:10" ht="13">
      <c r="B459" s="19"/>
      <c r="J459" s="13"/>
    </row>
    <row r="460" spans="2:10" ht="13">
      <c r="B460" s="19"/>
      <c r="J460" s="13"/>
    </row>
    <row r="461" spans="2:10" ht="13">
      <c r="B461" s="19"/>
      <c r="J461" s="13"/>
    </row>
    <row r="462" spans="2:10" ht="13">
      <c r="B462" s="19"/>
      <c r="J462" s="13"/>
    </row>
    <row r="463" spans="2:10" ht="13">
      <c r="B463" s="19"/>
      <c r="J463" s="13"/>
    </row>
    <row r="464" spans="2:10" ht="13">
      <c r="B464" s="19"/>
      <c r="J464" s="13"/>
    </row>
    <row r="465" spans="2:10" ht="13">
      <c r="B465" s="19"/>
      <c r="J465" s="13"/>
    </row>
    <row r="466" spans="2:10" ht="13">
      <c r="B466" s="19"/>
      <c r="J466" s="13"/>
    </row>
    <row r="467" spans="2:10" ht="13">
      <c r="B467" s="19"/>
      <c r="J467" s="13"/>
    </row>
    <row r="468" spans="2:10" ht="13">
      <c r="B468" s="19"/>
      <c r="J468" s="13"/>
    </row>
    <row r="469" spans="2:10" ht="13">
      <c r="B469" s="19"/>
      <c r="J469" s="13"/>
    </row>
    <row r="470" spans="2:10" ht="13">
      <c r="B470" s="19"/>
      <c r="J470" s="13"/>
    </row>
    <row r="471" spans="2:10" ht="13">
      <c r="B471" s="19"/>
      <c r="J471" s="13"/>
    </row>
    <row r="472" spans="2:10" ht="13">
      <c r="B472" s="19"/>
      <c r="J472" s="13"/>
    </row>
    <row r="473" spans="2:10" ht="13">
      <c r="B473" s="19"/>
      <c r="J473" s="13"/>
    </row>
    <row r="474" spans="2:10" ht="13">
      <c r="B474" s="19"/>
      <c r="J474" s="13"/>
    </row>
    <row r="475" spans="2:10" ht="13">
      <c r="B475" s="19"/>
      <c r="J475" s="13"/>
    </row>
    <row r="476" spans="2:10" ht="13">
      <c r="B476" s="19"/>
      <c r="J476" s="13"/>
    </row>
    <row r="477" spans="2:10" ht="13">
      <c r="B477" s="19"/>
      <c r="J477" s="13"/>
    </row>
    <row r="478" spans="2:10" ht="13">
      <c r="B478" s="19"/>
      <c r="J478" s="13"/>
    </row>
    <row r="479" spans="2:10" ht="13">
      <c r="B479" s="19"/>
      <c r="J479" s="13"/>
    </row>
    <row r="480" spans="2:10" ht="13">
      <c r="B480" s="19"/>
      <c r="J480" s="13"/>
    </row>
    <row r="481" spans="2:10" ht="13">
      <c r="B481" s="19"/>
      <c r="J481" s="13"/>
    </row>
    <row r="482" spans="2:10" ht="13">
      <c r="B482" s="19"/>
      <c r="J482" s="13"/>
    </row>
    <row r="483" spans="2:10" ht="13">
      <c r="B483" s="19"/>
      <c r="J483" s="13"/>
    </row>
    <row r="484" spans="2:10" ht="13">
      <c r="B484" s="19"/>
      <c r="J484" s="13"/>
    </row>
    <row r="485" spans="2:10" ht="13">
      <c r="B485" s="19"/>
      <c r="J485" s="13"/>
    </row>
    <row r="486" spans="2:10" ht="13">
      <c r="B486" s="19"/>
      <c r="J486" s="13"/>
    </row>
    <row r="487" spans="2:10" ht="13">
      <c r="B487" s="19"/>
      <c r="J487" s="13"/>
    </row>
    <row r="488" spans="2:10" ht="13">
      <c r="B488" s="19"/>
      <c r="J488" s="13"/>
    </row>
    <row r="489" spans="2:10" ht="13">
      <c r="B489" s="19"/>
      <c r="J489" s="13"/>
    </row>
    <row r="490" spans="2:10" ht="13">
      <c r="B490" s="19"/>
      <c r="J490" s="13"/>
    </row>
    <row r="491" spans="2:10" ht="13">
      <c r="B491" s="19"/>
      <c r="J491" s="13"/>
    </row>
    <row r="492" spans="2:10" ht="13">
      <c r="B492" s="19"/>
      <c r="J492" s="13"/>
    </row>
    <row r="493" spans="2:10" ht="13">
      <c r="B493" s="19"/>
      <c r="J493" s="13"/>
    </row>
    <row r="494" spans="2:10" ht="13">
      <c r="B494" s="19"/>
      <c r="J494" s="13"/>
    </row>
    <row r="495" spans="2:10" ht="13">
      <c r="B495" s="19"/>
      <c r="J495" s="13"/>
    </row>
    <row r="496" spans="2:10" ht="13">
      <c r="B496" s="19"/>
      <c r="J496" s="13"/>
    </row>
    <row r="497" spans="2:10" ht="13">
      <c r="B497" s="19"/>
      <c r="J497" s="13"/>
    </row>
    <row r="498" spans="2:10" ht="13">
      <c r="B498" s="19"/>
      <c r="J498" s="13"/>
    </row>
    <row r="499" spans="2:10" ht="13">
      <c r="B499" s="19"/>
      <c r="J499" s="13"/>
    </row>
    <row r="500" spans="2:10" ht="13">
      <c r="B500" s="19"/>
      <c r="J500" s="13"/>
    </row>
    <row r="501" spans="2:10" ht="13">
      <c r="B501" s="19"/>
      <c r="J501" s="13"/>
    </row>
    <row r="502" spans="2:10" ht="13">
      <c r="B502" s="19"/>
      <c r="J502" s="13"/>
    </row>
    <row r="503" spans="2:10" ht="13">
      <c r="B503" s="19"/>
      <c r="J503" s="13"/>
    </row>
    <row r="504" spans="2:10" ht="13">
      <c r="B504" s="19"/>
      <c r="J504" s="13"/>
    </row>
    <row r="505" spans="2:10" ht="13">
      <c r="B505" s="19"/>
      <c r="J505" s="13"/>
    </row>
    <row r="506" spans="2:10" ht="13">
      <c r="B506" s="19"/>
      <c r="J506" s="13"/>
    </row>
    <row r="507" spans="2:10" ht="13">
      <c r="B507" s="19"/>
      <c r="J507" s="13"/>
    </row>
    <row r="508" spans="2:10" ht="13">
      <c r="B508" s="19"/>
      <c r="J508" s="13"/>
    </row>
    <row r="509" spans="2:10" ht="13">
      <c r="B509" s="19"/>
      <c r="J509" s="13"/>
    </row>
    <row r="510" spans="2:10" ht="13">
      <c r="B510" s="19"/>
      <c r="J510" s="13"/>
    </row>
    <row r="511" spans="2:10" ht="13">
      <c r="B511" s="19"/>
      <c r="J511" s="13"/>
    </row>
    <row r="512" spans="2:10" ht="13">
      <c r="B512" s="19"/>
      <c r="J512" s="13"/>
    </row>
    <row r="513" spans="2:10" ht="13">
      <c r="B513" s="19"/>
      <c r="J513" s="13"/>
    </row>
    <row r="514" spans="2:10" ht="13">
      <c r="B514" s="19"/>
      <c r="J514" s="13"/>
    </row>
    <row r="515" spans="2:10" ht="13">
      <c r="B515" s="19"/>
      <c r="J515" s="13"/>
    </row>
    <row r="516" spans="2:10" ht="13">
      <c r="B516" s="19"/>
      <c r="J516" s="13"/>
    </row>
    <row r="517" spans="2:10" ht="13">
      <c r="B517" s="19"/>
      <c r="J517" s="13"/>
    </row>
    <row r="518" spans="2:10" ht="13">
      <c r="B518" s="19"/>
      <c r="J518" s="13"/>
    </row>
    <row r="519" spans="2:10" ht="13">
      <c r="B519" s="19"/>
      <c r="J519" s="13"/>
    </row>
    <row r="520" spans="2:10" ht="13">
      <c r="B520" s="19"/>
      <c r="J520" s="13"/>
    </row>
    <row r="521" spans="2:10" ht="13">
      <c r="B521" s="19"/>
      <c r="J521" s="13"/>
    </row>
    <row r="522" spans="2:10" ht="13">
      <c r="B522" s="19"/>
      <c r="J522" s="13"/>
    </row>
    <row r="523" spans="2:10" ht="13">
      <c r="B523" s="19"/>
      <c r="J523" s="13"/>
    </row>
    <row r="524" spans="2:10" ht="13">
      <c r="B524" s="19"/>
      <c r="J524" s="13"/>
    </row>
    <row r="525" spans="2:10" ht="13">
      <c r="B525" s="19"/>
      <c r="J525" s="13"/>
    </row>
    <row r="526" spans="2:10" ht="13">
      <c r="B526" s="19"/>
      <c r="J526" s="13"/>
    </row>
    <row r="527" spans="2:10" ht="13">
      <c r="B527" s="19"/>
      <c r="J527" s="13"/>
    </row>
    <row r="528" spans="2:10" ht="13">
      <c r="B528" s="19"/>
      <c r="J528" s="13"/>
    </row>
    <row r="529" spans="2:10" ht="13">
      <c r="B529" s="19"/>
      <c r="J529" s="13"/>
    </row>
    <row r="530" spans="2:10" ht="13">
      <c r="B530" s="19"/>
      <c r="J530" s="13"/>
    </row>
    <row r="531" spans="2:10" ht="13">
      <c r="B531" s="19"/>
      <c r="J531" s="13"/>
    </row>
    <row r="532" spans="2:10" ht="13">
      <c r="B532" s="19"/>
      <c r="J532" s="13"/>
    </row>
    <row r="533" spans="2:10" ht="13">
      <c r="B533" s="19"/>
      <c r="J533" s="13"/>
    </row>
    <row r="534" spans="2:10" ht="13">
      <c r="B534" s="19"/>
      <c r="J534" s="13"/>
    </row>
    <row r="535" spans="2:10" ht="13">
      <c r="B535" s="19"/>
      <c r="J535" s="13"/>
    </row>
    <row r="536" spans="2:10" ht="13">
      <c r="B536" s="19"/>
      <c r="J536" s="13"/>
    </row>
    <row r="537" spans="2:10" ht="13">
      <c r="B537" s="19"/>
      <c r="J537" s="13"/>
    </row>
    <row r="538" spans="2:10" ht="13">
      <c r="B538" s="19"/>
      <c r="J538" s="13"/>
    </row>
    <row r="539" spans="2:10" ht="13">
      <c r="B539" s="19"/>
      <c r="J539" s="13"/>
    </row>
    <row r="540" spans="2:10" ht="13">
      <c r="B540" s="19"/>
      <c r="J540" s="13"/>
    </row>
    <row r="541" spans="2:10" ht="13">
      <c r="B541" s="19"/>
      <c r="J541" s="13"/>
    </row>
    <row r="542" spans="2:10" ht="13">
      <c r="B542" s="19"/>
      <c r="J542" s="13"/>
    </row>
    <row r="543" spans="2:10" ht="13">
      <c r="B543" s="19"/>
      <c r="J543" s="13"/>
    </row>
    <row r="544" spans="2:10" ht="13">
      <c r="B544" s="19"/>
      <c r="J544" s="13"/>
    </row>
    <row r="545" spans="2:10" ht="13">
      <c r="B545" s="19"/>
      <c r="J545" s="13"/>
    </row>
    <row r="546" spans="2:10" ht="13">
      <c r="B546" s="19"/>
      <c r="J546" s="13"/>
    </row>
    <row r="547" spans="2:10" ht="13">
      <c r="B547" s="19"/>
      <c r="J547" s="13"/>
    </row>
    <row r="548" spans="2:10" ht="13">
      <c r="B548" s="19"/>
      <c r="J548" s="13"/>
    </row>
    <row r="549" spans="2:10" ht="13">
      <c r="B549" s="19"/>
      <c r="J549" s="13"/>
    </row>
    <row r="550" spans="2:10" ht="13">
      <c r="B550" s="19"/>
      <c r="J550" s="13"/>
    </row>
    <row r="551" spans="2:10" ht="13">
      <c r="B551" s="19"/>
      <c r="J551" s="13"/>
    </row>
    <row r="552" spans="2:10" ht="13">
      <c r="B552" s="19"/>
      <c r="J552" s="13"/>
    </row>
    <row r="553" spans="2:10" ht="13">
      <c r="B553" s="19"/>
      <c r="J553" s="13"/>
    </row>
    <row r="554" spans="2:10" ht="13">
      <c r="B554" s="19"/>
      <c r="J554" s="13"/>
    </row>
    <row r="555" spans="2:10" ht="13">
      <c r="B555" s="19"/>
      <c r="J555" s="13"/>
    </row>
    <row r="556" spans="2:10" ht="13">
      <c r="B556" s="19"/>
      <c r="J556" s="13"/>
    </row>
    <row r="557" spans="2:10" ht="13">
      <c r="B557" s="19"/>
      <c r="J557" s="13"/>
    </row>
    <row r="558" spans="2:10" ht="13">
      <c r="B558" s="19"/>
      <c r="J558" s="13"/>
    </row>
    <row r="559" spans="2:10" ht="13">
      <c r="B559" s="19"/>
      <c r="J559" s="13"/>
    </row>
    <row r="560" spans="2:10" ht="13">
      <c r="B560" s="19"/>
      <c r="J560" s="13"/>
    </row>
    <row r="561" spans="2:10" ht="13">
      <c r="B561" s="19"/>
      <c r="J561" s="13"/>
    </row>
    <row r="562" spans="2:10" ht="13">
      <c r="B562" s="19"/>
      <c r="J562" s="13"/>
    </row>
    <row r="563" spans="2:10" ht="13">
      <c r="B563" s="19"/>
      <c r="J563" s="13"/>
    </row>
    <row r="564" spans="2:10" ht="13">
      <c r="B564" s="19"/>
      <c r="J564" s="13"/>
    </row>
    <row r="565" spans="2:10" ht="13">
      <c r="B565" s="19"/>
      <c r="J565" s="13"/>
    </row>
    <row r="566" spans="2:10" ht="13">
      <c r="B566" s="19"/>
      <c r="J566" s="13"/>
    </row>
    <row r="567" spans="2:10" ht="13">
      <c r="B567" s="19"/>
      <c r="J567" s="13"/>
    </row>
    <row r="568" spans="2:10" ht="13">
      <c r="B568" s="19"/>
      <c r="J568" s="13"/>
    </row>
    <row r="569" spans="2:10" ht="13">
      <c r="B569" s="19"/>
      <c r="J569" s="13"/>
    </row>
    <row r="570" spans="2:10" ht="13">
      <c r="B570" s="19"/>
      <c r="J570" s="13"/>
    </row>
    <row r="571" spans="2:10" ht="13">
      <c r="B571" s="19"/>
      <c r="J571" s="13"/>
    </row>
    <row r="572" spans="2:10" ht="13">
      <c r="B572" s="19"/>
      <c r="J572" s="13"/>
    </row>
    <row r="573" spans="2:10" ht="13">
      <c r="B573" s="19"/>
      <c r="J573" s="13"/>
    </row>
    <row r="574" spans="2:10" ht="13">
      <c r="B574" s="19"/>
      <c r="J574" s="13"/>
    </row>
    <row r="575" spans="2:10" ht="13">
      <c r="B575" s="19"/>
      <c r="J575" s="13"/>
    </row>
    <row r="576" spans="2:10" ht="13">
      <c r="B576" s="19"/>
      <c r="J576" s="13"/>
    </row>
    <row r="577" spans="2:10" ht="13">
      <c r="B577" s="19"/>
      <c r="J577" s="13"/>
    </row>
    <row r="578" spans="2:10" ht="13">
      <c r="B578" s="19"/>
      <c r="J578" s="13"/>
    </row>
    <row r="579" spans="2:10" ht="13">
      <c r="B579" s="19"/>
      <c r="J579" s="13"/>
    </row>
    <row r="580" spans="2:10" ht="13">
      <c r="B580" s="19"/>
      <c r="J580" s="13"/>
    </row>
    <row r="581" spans="2:10" ht="13">
      <c r="B581" s="19"/>
      <c r="J581" s="13"/>
    </row>
    <row r="582" spans="2:10" ht="13">
      <c r="B582" s="19"/>
      <c r="J582" s="13"/>
    </row>
    <row r="583" spans="2:10" ht="13">
      <c r="B583" s="19"/>
      <c r="J583" s="13"/>
    </row>
    <row r="584" spans="2:10" ht="13">
      <c r="B584" s="19"/>
      <c r="J584" s="13"/>
    </row>
    <row r="585" spans="2:10" ht="13">
      <c r="B585" s="19"/>
      <c r="J585" s="13"/>
    </row>
    <row r="586" spans="2:10" ht="13">
      <c r="B586" s="19"/>
      <c r="J586" s="13"/>
    </row>
    <row r="587" spans="2:10" ht="13">
      <c r="B587" s="19"/>
      <c r="J587" s="13"/>
    </row>
    <row r="588" spans="2:10" ht="13">
      <c r="B588" s="19"/>
      <c r="J588" s="13"/>
    </row>
    <row r="589" spans="2:10" ht="13">
      <c r="B589" s="19"/>
      <c r="J589" s="13"/>
    </row>
    <row r="590" spans="2:10" ht="13">
      <c r="B590" s="19"/>
      <c r="J590" s="13"/>
    </row>
    <row r="591" spans="2:10" ht="13">
      <c r="B591" s="19"/>
      <c r="J591" s="13"/>
    </row>
    <row r="592" spans="2:10" ht="13">
      <c r="B592" s="19"/>
      <c r="J592" s="13"/>
    </row>
    <row r="593" spans="2:10" ht="13">
      <c r="B593" s="19"/>
      <c r="J593" s="13"/>
    </row>
    <row r="594" spans="2:10" ht="13">
      <c r="B594" s="19"/>
      <c r="J594" s="13"/>
    </row>
    <row r="595" spans="2:10" ht="13">
      <c r="B595" s="19"/>
      <c r="J595" s="13"/>
    </row>
    <row r="596" spans="2:10" ht="13">
      <c r="B596" s="19"/>
      <c r="J596" s="13"/>
    </row>
    <row r="597" spans="2:10" ht="13">
      <c r="B597" s="19"/>
      <c r="J597" s="13"/>
    </row>
    <row r="598" spans="2:10" ht="13">
      <c r="B598" s="19"/>
      <c r="J598" s="13"/>
    </row>
    <row r="599" spans="2:10" ht="13">
      <c r="B599" s="19"/>
      <c r="J599" s="13"/>
    </row>
    <row r="600" spans="2:10" ht="13">
      <c r="B600" s="19"/>
      <c r="J600" s="13"/>
    </row>
    <row r="601" spans="2:10" ht="13">
      <c r="B601" s="19"/>
      <c r="J601" s="13"/>
    </row>
    <row r="602" spans="2:10" ht="13">
      <c r="B602" s="19"/>
      <c r="J602" s="13"/>
    </row>
    <row r="603" spans="2:10" ht="13">
      <c r="B603" s="19"/>
      <c r="J603" s="13"/>
    </row>
    <row r="604" spans="2:10" ht="13">
      <c r="B604" s="19"/>
      <c r="J604" s="13"/>
    </row>
    <row r="605" spans="2:10" ht="13">
      <c r="B605" s="19"/>
      <c r="J605" s="13"/>
    </row>
    <row r="606" spans="2:10" ht="13">
      <c r="B606" s="19"/>
      <c r="J606" s="13"/>
    </row>
    <row r="607" spans="2:10" ht="13">
      <c r="B607" s="19"/>
      <c r="J607" s="13"/>
    </row>
    <row r="608" spans="2:10" ht="13">
      <c r="B608" s="19"/>
      <c r="J608" s="13"/>
    </row>
    <row r="609" spans="2:10" ht="13">
      <c r="B609" s="19"/>
      <c r="J609" s="13"/>
    </row>
    <row r="610" spans="2:10" ht="13">
      <c r="B610" s="19"/>
      <c r="J610" s="13"/>
    </row>
    <row r="611" spans="2:10" ht="13">
      <c r="B611" s="19"/>
      <c r="J611" s="13"/>
    </row>
    <row r="612" spans="2:10" ht="13">
      <c r="B612" s="19"/>
      <c r="J612" s="13"/>
    </row>
    <row r="613" spans="2:10" ht="13">
      <c r="B613" s="19"/>
      <c r="J613" s="13"/>
    </row>
    <row r="614" spans="2:10" ht="13">
      <c r="B614" s="19"/>
      <c r="J614" s="13"/>
    </row>
    <row r="615" spans="2:10" ht="13">
      <c r="B615" s="19"/>
      <c r="J615" s="13"/>
    </row>
    <row r="616" spans="2:10" ht="13">
      <c r="B616" s="19"/>
      <c r="J616" s="13"/>
    </row>
    <row r="617" spans="2:10" ht="13">
      <c r="B617" s="19"/>
      <c r="J617" s="13"/>
    </row>
    <row r="618" spans="2:10" ht="13">
      <c r="B618" s="19"/>
      <c r="J618" s="13"/>
    </row>
    <row r="619" spans="2:10" ht="13">
      <c r="B619" s="19"/>
      <c r="J619" s="13"/>
    </row>
    <row r="620" spans="2:10" ht="13">
      <c r="B620" s="19"/>
      <c r="J620" s="13"/>
    </row>
    <row r="621" spans="2:10" ht="13">
      <c r="B621" s="19"/>
      <c r="J621" s="13"/>
    </row>
    <row r="622" spans="2:10" ht="13">
      <c r="B622" s="19"/>
      <c r="J622" s="13"/>
    </row>
    <row r="623" spans="2:10" ht="13">
      <c r="B623" s="19"/>
      <c r="J623" s="13"/>
    </row>
    <row r="624" spans="2:10" ht="13">
      <c r="B624" s="19"/>
      <c r="J624" s="13"/>
    </row>
    <row r="625" spans="2:10" ht="13">
      <c r="B625" s="19"/>
      <c r="J625" s="13"/>
    </row>
    <row r="626" spans="2:10" ht="13">
      <c r="B626" s="19"/>
      <c r="J626" s="13"/>
    </row>
    <row r="627" spans="2:10" ht="13">
      <c r="B627" s="19"/>
      <c r="J627" s="13"/>
    </row>
    <row r="628" spans="2:10" ht="13">
      <c r="B628" s="19"/>
      <c r="J628" s="13"/>
    </row>
    <row r="629" spans="2:10" ht="13">
      <c r="B629" s="19"/>
      <c r="J629" s="13"/>
    </row>
    <row r="630" spans="2:10" ht="13">
      <c r="B630" s="19"/>
      <c r="J630" s="13"/>
    </row>
    <row r="631" spans="2:10" ht="13">
      <c r="B631" s="19"/>
      <c r="J631" s="13"/>
    </row>
    <row r="632" spans="2:10" ht="13">
      <c r="B632" s="19"/>
      <c r="J632" s="13"/>
    </row>
    <row r="633" spans="2:10" ht="13">
      <c r="B633" s="19"/>
      <c r="J633" s="13"/>
    </row>
    <row r="634" spans="2:10" ht="13">
      <c r="B634" s="19"/>
      <c r="J634" s="13"/>
    </row>
    <row r="635" spans="2:10" ht="13">
      <c r="B635" s="19"/>
      <c r="J635" s="13"/>
    </row>
    <row r="636" spans="2:10" ht="13">
      <c r="B636" s="19"/>
      <c r="J636" s="13"/>
    </row>
    <row r="637" spans="2:10" ht="13">
      <c r="B637" s="19"/>
      <c r="J637" s="13"/>
    </row>
    <row r="638" spans="2:10" ht="13">
      <c r="B638" s="19"/>
      <c r="J638" s="13"/>
    </row>
    <row r="639" spans="2:10" ht="13">
      <c r="B639" s="19"/>
      <c r="J639" s="13"/>
    </row>
    <row r="640" spans="2:10" ht="13">
      <c r="B640" s="19"/>
      <c r="J640" s="13"/>
    </row>
    <row r="641" spans="2:10" ht="13">
      <c r="B641" s="19"/>
      <c r="J641" s="13"/>
    </row>
    <row r="642" spans="2:10" ht="13">
      <c r="B642" s="19"/>
      <c r="J642" s="13"/>
    </row>
    <row r="643" spans="2:10" ht="13">
      <c r="B643" s="19"/>
      <c r="J643" s="13"/>
    </row>
    <row r="644" spans="2:10" ht="13">
      <c r="B644" s="19"/>
      <c r="J644" s="13"/>
    </row>
    <row r="645" spans="2:10" ht="13">
      <c r="B645" s="19"/>
      <c r="J645" s="13"/>
    </row>
    <row r="646" spans="2:10" ht="13">
      <c r="B646" s="19"/>
      <c r="J646" s="13"/>
    </row>
    <row r="647" spans="2:10" ht="13">
      <c r="B647" s="19"/>
      <c r="J647" s="13"/>
    </row>
    <row r="648" spans="2:10" ht="13">
      <c r="B648" s="19"/>
      <c r="J648" s="13"/>
    </row>
    <row r="649" spans="2:10" ht="13">
      <c r="B649" s="19"/>
      <c r="J649" s="13"/>
    </row>
    <row r="650" spans="2:10" ht="13">
      <c r="B650" s="19"/>
      <c r="J650" s="13"/>
    </row>
    <row r="651" spans="2:10" ht="13">
      <c r="B651" s="19"/>
      <c r="J651" s="13"/>
    </row>
    <row r="652" spans="2:10" ht="13">
      <c r="B652" s="19"/>
      <c r="J652" s="13"/>
    </row>
    <row r="653" spans="2:10" ht="13">
      <c r="B653" s="19"/>
      <c r="J653" s="13"/>
    </row>
    <row r="654" spans="2:10" ht="13">
      <c r="B654" s="19"/>
      <c r="J654" s="13"/>
    </row>
    <row r="655" spans="2:10" ht="13">
      <c r="B655" s="19"/>
      <c r="J655" s="13"/>
    </row>
    <row r="656" spans="2:10" ht="13">
      <c r="B656" s="19"/>
      <c r="J656" s="13"/>
    </row>
    <row r="657" spans="2:10" ht="13">
      <c r="B657" s="19"/>
      <c r="J657" s="13"/>
    </row>
    <row r="658" spans="2:10" ht="13">
      <c r="B658" s="19"/>
      <c r="J658" s="13"/>
    </row>
    <row r="659" spans="2:10" ht="13">
      <c r="B659" s="19"/>
      <c r="J659" s="13"/>
    </row>
    <row r="660" spans="2:10" ht="13">
      <c r="B660" s="19"/>
      <c r="J660" s="13"/>
    </row>
    <row r="661" spans="2:10" ht="13">
      <c r="B661" s="19"/>
      <c r="J661" s="13"/>
    </row>
    <row r="662" spans="2:10" ht="13">
      <c r="B662" s="19"/>
      <c r="J662" s="13"/>
    </row>
    <row r="663" spans="2:10" ht="13">
      <c r="B663" s="19"/>
      <c r="J663" s="13"/>
    </row>
    <row r="664" spans="2:10" ht="13">
      <c r="B664" s="19"/>
      <c r="J664" s="13"/>
    </row>
    <row r="665" spans="2:10" ht="13">
      <c r="B665" s="19"/>
      <c r="J665" s="13"/>
    </row>
    <row r="666" spans="2:10" ht="13">
      <c r="B666" s="19"/>
      <c r="J666" s="13"/>
    </row>
    <row r="667" spans="2:10" ht="13">
      <c r="B667" s="19"/>
      <c r="J667" s="13"/>
    </row>
    <row r="668" spans="2:10" ht="13">
      <c r="B668" s="19"/>
      <c r="J668" s="13"/>
    </row>
    <row r="669" spans="2:10" ht="13">
      <c r="B669" s="19"/>
      <c r="J669" s="13"/>
    </row>
    <row r="670" spans="2:10" ht="13">
      <c r="B670" s="19"/>
      <c r="J670" s="13"/>
    </row>
    <row r="671" spans="2:10" ht="13">
      <c r="B671" s="19"/>
      <c r="J671" s="13"/>
    </row>
    <row r="672" spans="2:10" ht="13">
      <c r="B672" s="19"/>
      <c r="J672" s="13"/>
    </row>
    <row r="673" spans="2:10" ht="13">
      <c r="B673" s="19"/>
      <c r="J673" s="13"/>
    </row>
    <row r="674" spans="2:10" ht="13">
      <c r="B674" s="19"/>
      <c r="J674" s="13"/>
    </row>
    <row r="675" spans="2:10" ht="13">
      <c r="B675" s="19"/>
      <c r="J675" s="13"/>
    </row>
    <row r="676" spans="2:10" ht="13">
      <c r="B676" s="19"/>
      <c r="J676" s="13"/>
    </row>
    <row r="677" spans="2:10" ht="13">
      <c r="B677" s="19"/>
      <c r="J677" s="13"/>
    </row>
    <row r="678" spans="2:10" ht="13">
      <c r="B678" s="19"/>
      <c r="J678" s="13"/>
    </row>
    <row r="679" spans="2:10" ht="13">
      <c r="B679" s="19"/>
      <c r="J679" s="13"/>
    </row>
    <row r="680" spans="2:10" ht="13">
      <c r="B680" s="19"/>
      <c r="J680" s="13"/>
    </row>
    <row r="681" spans="2:10" ht="13">
      <c r="B681" s="19"/>
      <c r="J681" s="13"/>
    </row>
    <row r="682" spans="2:10" ht="13">
      <c r="B682" s="19"/>
      <c r="J682" s="13"/>
    </row>
    <row r="683" spans="2:10" ht="13">
      <c r="B683" s="19"/>
      <c r="J683" s="13"/>
    </row>
    <row r="684" spans="2:10" ht="13">
      <c r="B684" s="19"/>
      <c r="J684" s="13"/>
    </row>
    <row r="685" spans="2:10" ht="13">
      <c r="B685" s="19"/>
      <c r="J685" s="13"/>
    </row>
    <row r="686" spans="2:10" ht="13">
      <c r="B686" s="19"/>
      <c r="J686" s="13"/>
    </row>
    <row r="687" spans="2:10" ht="13">
      <c r="B687" s="19"/>
      <c r="J687" s="13"/>
    </row>
    <row r="688" spans="2:10" ht="13">
      <c r="B688" s="19"/>
      <c r="J688" s="13"/>
    </row>
    <row r="689" spans="2:10" ht="13">
      <c r="B689" s="19"/>
      <c r="J689" s="13"/>
    </row>
    <row r="690" spans="2:10" ht="13">
      <c r="B690" s="19"/>
      <c r="J690" s="13"/>
    </row>
    <row r="691" spans="2:10" ht="13">
      <c r="B691" s="19"/>
      <c r="J691" s="13"/>
    </row>
    <row r="692" spans="2:10" ht="13">
      <c r="B692" s="19"/>
      <c r="J692" s="13"/>
    </row>
    <row r="693" spans="2:10" ht="13">
      <c r="B693" s="19"/>
      <c r="J693" s="13"/>
    </row>
    <row r="694" spans="2:10" ht="13">
      <c r="B694" s="19"/>
      <c r="J694" s="13"/>
    </row>
    <row r="695" spans="2:10" ht="13">
      <c r="B695" s="19"/>
      <c r="J695" s="13"/>
    </row>
    <row r="696" spans="2:10" ht="13">
      <c r="B696" s="19"/>
      <c r="J696" s="13"/>
    </row>
    <row r="697" spans="2:10" ht="13">
      <c r="B697" s="19"/>
      <c r="J697" s="13"/>
    </row>
    <row r="698" spans="2:10" ht="13">
      <c r="B698" s="19"/>
      <c r="J698" s="13"/>
    </row>
    <row r="699" spans="2:10" ht="13">
      <c r="B699" s="19"/>
      <c r="J699" s="13"/>
    </row>
    <row r="700" spans="2:10" ht="13">
      <c r="B700" s="19"/>
      <c r="J700" s="13"/>
    </row>
    <row r="701" spans="2:10" ht="13">
      <c r="B701" s="19"/>
      <c r="J701" s="13"/>
    </row>
    <row r="702" spans="2:10" ht="13">
      <c r="B702" s="19"/>
      <c r="J702" s="13"/>
    </row>
    <row r="703" spans="2:10" ht="13">
      <c r="B703" s="19"/>
      <c r="J703" s="13"/>
    </row>
    <row r="704" spans="2:10" ht="13">
      <c r="B704" s="19"/>
      <c r="J704" s="13"/>
    </row>
    <row r="705" spans="2:10" ht="13">
      <c r="B705" s="19"/>
      <c r="J705" s="13"/>
    </row>
    <row r="706" spans="2:10" ht="13">
      <c r="B706" s="19"/>
      <c r="J706" s="13"/>
    </row>
    <row r="707" spans="2:10" ht="13">
      <c r="B707" s="19"/>
      <c r="J707" s="13"/>
    </row>
    <row r="708" spans="2:10" ht="13">
      <c r="B708" s="19"/>
      <c r="J708" s="13"/>
    </row>
    <row r="709" spans="2:10" ht="13">
      <c r="B709" s="19"/>
      <c r="J709" s="13"/>
    </row>
    <row r="710" spans="2:10" ht="13">
      <c r="B710" s="19"/>
      <c r="J710" s="13"/>
    </row>
    <row r="711" spans="2:10" ht="13">
      <c r="B711" s="19"/>
      <c r="J711" s="13"/>
    </row>
    <row r="712" spans="2:10" ht="13">
      <c r="B712" s="19"/>
      <c r="J712" s="13"/>
    </row>
    <row r="713" spans="2:10" ht="13">
      <c r="B713" s="19"/>
      <c r="J713" s="13"/>
    </row>
    <row r="714" spans="2:10" ht="13">
      <c r="B714" s="19"/>
      <c r="J714" s="13"/>
    </row>
    <row r="715" spans="2:10" ht="13">
      <c r="B715" s="19"/>
      <c r="J715" s="13"/>
    </row>
    <row r="716" spans="2:10" ht="13">
      <c r="B716" s="19"/>
      <c r="J716" s="13"/>
    </row>
    <row r="717" spans="2:10" ht="13">
      <c r="B717" s="19"/>
      <c r="J717" s="13"/>
    </row>
    <row r="718" spans="2:10" ht="13">
      <c r="B718" s="19"/>
      <c r="J718" s="13"/>
    </row>
    <row r="719" spans="2:10" ht="13">
      <c r="B719" s="19"/>
      <c r="J719" s="13"/>
    </row>
    <row r="720" spans="2:10" ht="13">
      <c r="B720" s="19"/>
      <c r="J720" s="13"/>
    </row>
    <row r="721" spans="2:10" ht="13">
      <c r="B721" s="19"/>
      <c r="J721" s="13"/>
    </row>
    <row r="722" spans="2:10" ht="13">
      <c r="B722" s="19"/>
      <c r="J722" s="13"/>
    </row>
    <row r="723" spans="2:10" ht="13">
      <c r="B723" s="19"/>
      <c r="J723" s="13"/>
    </row>
    <row r="724" spans="2:10" ht="13">
      <c r="B724" s="19"/>
      <c r="J724" s="13"/>
    </row>
    <row r="725" spans="2:10" ht="13">
      <c r="B725" s="19"/>
      <c r="J725" s="13"/>
    </row>
    <row r="726" spans="2:10" ht="13">
      <c r="B726" s="19"/>
      <c r="J726" s="13"/>
    </row>
    <row r="727" spans="2:10" ht="13">
      <c r="B727" s="19"/>
      <c r="J727" s="13"/>
    </row>
    <row r="728" spans="2:10" ht="13">
      <c r="B728" s="19"/>
      <c r="J728" s="13"/>
    </row>
    <row r="729" spans="2:10" ht="13">
      <c r="B729" s="19"/>
      <c r="J729" s="13"/>
    </row>
    <row r="730" spans="2:10" ht="13">
      <c r="B730" s="19"/>
      <c r="J730" s="13"/>
    </row>
    <row r="731" spans="2:10" ht="13">
      <c r="B731" s="19"/>
      <c r="J731" s="13"/>
    </row>
    <row r="732" spans="2:10" ht="13">
      <c r="B732" s="19"/>
      <c r="J732" s="13"/>
    </row>
    <row r="733" spans="2:10" ht="13">
      <c r="B733" s="19"/>
      <c r="J733" s="13"/>
    </row>
    <row r="734" spans="2:10" ht="13">
      <c r="B734" s="19"/>
      <c r="J734" s="13"/>
    </row>
    <row r="735" spans="2:10" ht="13">
      <c r="B735" s="19"/>
      <c r="J735" s="13"/>
    </row>
    <row r="736" spans="2:10" ht="13">
      <c r="B736" s="19"/>
      <c r="J736" s="13"/>
    </row>
    <row r="737" spans="2:10" ht="13">
      <c r="B737" s="19"/>
      <c r="J737" s="13"/>
    </row>
    <row r="738" spans="2:10" ht="13">
      <c r="B738" s="19"/>
      <c r="J738" s="13"/>
    </row>
    <row r="739" spans="2:10" ht="13">
      <c r="B739" s="19"/>
      <c r="J739" s="13"/>
    </row>
    <row r="740" spans="2:10" ht="13">
      <c r="B740" s="19"/>
      <c r="J740" s="13"/>
    </row>
    <row r="741" spans="2:10" ht="13">
      <c r="B741" s="19"/>
      <c r="J741" s="13"/>
    </row>
    <row r="742" spans="2:10" ht="13">
      <c r="B742" s="19"/>
      <c r="J742" s="13"/>
    </row>
    <row r="743" spans="2:10" ht="13">
      <c r="B743" s="19"/>
      <c r="J743" s="13"/>
    </row>
    <row r="744" spans="2:10" ht="13">
      <c r="B744" s="19"/>
      <c r="J744" s="13"/>
    </row>
    <row r="745" spans="2:10" ht="13">
      <c r="B745" s="19"/>
      <c r="J745" s="13"/>
    </row>
    <row r="746" spans="2:10" ht="13">
      <c r="B746" s="19"/>
      <c r="J746" s="13"/>
    </row>
    <row r="747" spans="2:10" ht="13">
      <c r="B747" s="19"/>
      <c r="J747" s="13"/>
    </row>
    <row r="748" spans="2:10" ht="13">
      <c r="B748" s="19"/>
      <c r="J748" s="13"/>
    </row>
    <row r="749" spans="2:10" ht="13">
      <c r="B749" s="19"/>
      <c r="J749" s="13"/>
    </row>
    <row r="750" spans="2:10" ht="13">
      <c r="B750" s="19"/>
      <c r="J750" s="13"/>
    </row>
    <row r="751" spans="2:10" ht="13">
      <c r="B751" s="19"/>
      <c r="J751" s="13"/>
    </row>
    <row r="752" spans="2:10" ht="13">
      <c r="B752" s="19"/>
      <c r="J752" s="13"/>
    </row>
    <row r="753" spans="2:10" ht="13">
      <c r="B753" s="19"/>
      <c r="J753" s="13"/>
    </row>
    <row r="754" spans="2:10" ht="13">
      <c r="B754" s="19"/>
      <c r="J754" s="13"/>
    </row>
    <row r="755" spans="2:10" ht="13">
      <c r="B755" s="19"/>
      <c r="J755" s="13"/>
    </row>
    <row r="756" spans="2:10" ht="13">
      <c r="B756" s="19"/>
      <c r="J756" s="13"/>
    </row>
    <row r="757" spans="2:10" ht="13">
      <c r="B757" s="19"/>
      <c r="J757" s="13"/>
    </row>
    <row r="758" spans="2:10" ht="13">
      <c r="B758" s="19"/>
      <c r="J758" s="13"/>
    </row>
    <row r="759" spans="2:10" ht="13">
      <c r="B759" s="19"/>
      <c r="J759" s="13"/>
    </row>
    <row r="760" spans="2:10" ht="13">
      <c r="B760" s="19"/>
      <c r="J760" s="13"/>
    </row>
    <row r="761" spans="2:10" ht="13">
      <c r="B761" s="19"/>
      <c r="J761" s="13"/>
    </row>
    <row r="762" spans="2:10" ht="13">
      <c r="B762" s="19"/>
      <c r="J762" s="13"/>
    </row>
    <row r="763" spans="2:10" ht="13">
      <c r="B763" s="19"/>
      <c r="J763" s="13"/>
    </row>
    <row r="764" spans="2:10" ht="13">
      <c r="B764" s="19"/>
      <c r="J764" s="13"/>
    </row>
    <row r="765" spans="2:10" ht="13">
      <c r="B765" s="19"/>
      <c r="J765" s="13"/>
    </row>
    <row r="766" spans="2:10" ht="13">
      <c r="B766" s="19"/>
      <c r="J766" s="13"/>
    </row>
    <row r="767" spans="2:10" ht="13">
      <c r="B767" s="19"/>
      <c r="J767" s="13"/>
    </row>
    <row r="768" spans="2:10" ht="13">
      <c r="B768" s="19"/>
      <c r="J768" s="13"/>
    </row>
    <row r="769" spans="2:10" ht="13">
      <c r="B769" s="19"/>
      <c r="J769" s="13"/>
    </row>
    <row r="770" spans="2:10" ht="13">
      <c r="B770" s="19"/>
      <c r="J770" s="13"/>
    </row>
    <row r="771" spans="2:10" ht="13">
      <c r="B771" s="19"/>
      <c r="J771" s="13"/>
    </row>
    <row r="772" spans="2:10" ht="13">
      <c r="B772" s="19"/>
      <c r="J772" s="13"/>
    </row>
    <row r="773" spans="2:10" ht="13">
      <c r="B773" s="19"/>
      <c r="J773" s="13"/>
    </row>
    <row r="774" spans="2:10" ht="13">
      <c r="B774" s="19"/>
      <c r="J774" s="13"/>
    </row>
    <row r="775" spans="2:10" ht="13">
      <c r="B775" s="19"/>
      <c r="J775" s="13"/>
    </row>
    <row r="776" spans="2:10" ht="13">
      <c r="B776" s="19"/>
      <c r="J776" s="13"/>
    </row>
    <row r="777" spans="2:10" ht="13">
      <c r="B777" s="19"/>
      <c r="J777" s="13"/>
    </row>
    <row r="778" spans="2:10" ht="13">
      <c r="B778" s="19"/>
      <c r="J778" s="13"/>
    </row>
    <row r="779" spans="2:10" ht="13">
      <c r="B779" s="19"/>
      <c r="J779" s="13"/>
    </row>
    <row r="780" spans="2:10" ht="13">
      <c r="B780" s="19"/>
      <c r="J780" s="13"/>
    </row>
    <row r="781" spans="2:10" ht="13">
      <c r="B781" s="19"/>
      <c r="J781" s="13"/>
    </row>
    <row r="782" spans="2:10" ht="13">
      <c r="B782" s="19"/>
      <c r="J782" s="13"/>
    </row>
    <row r="783" spans="2:10" ht="13">
      <c r="B783" s="19"/>
      <c r="J783" s="13"/>
    </row>
    <row r="784" spans="2:10" ht="13">
      <c r="B784" s="19"/>
      <c r="J784" s="13"/>
    </row>
    <row r="785" spans="2:10" ht="13">
      <c r="B785" s="19"/>
      <c r="J785" s="13"/>
    </row>
    <row r="786" spans="2:10" ht="13">
      <c r="B786" s="19"/>
      <c r="J786" s="13"/>
    </row>
    <row r="787" spans="2:10" ht="13">
      <c r="B787" s="19"/>
      <c r="J787" s="13"/>
    </row>
    <row r="788" spans="2:10" ht="13">
      <c r="B788" s="19"/>
      <c r="J788" s="13"/>
    </row>
    <row r="789" spans="2:10" ht="13">
      <c r="B789" s="19"/>
      <c r="J789" s="13"/>
    </row>
    <row r="790" spans="2:10" ht="13">
      <c r="B790" s="19"/>
      <c r="J790" s="13"/>
    </row>
    <row r="791" spans="2:10" ht="13">
      <c r="B791" s="19"/>
      <c r="J791" s="13"/>
    </row>
    <row r="792" spans="2:10" ht="13">
      <c r="B792" s="19"/>
      <c r="J792" s="13"/>
    </row>
    <row r="793" spans="2:10" ht="13">
      <c r="B793" s="19"/>
      <c r="J793" s="13"/>
    </row>
    <row r="794" spans="2:10" ht="13">
      <c r="B794" s="19"/>
      <c r="J794" s="13"/>
    </row>
    <row r="795" spans="2:10" ht="13">
      <c r="B795" s="19"/>
      <c r="J795" s="13"/>
    </row>
    <row r="796" spans="2:10" ht="13">
      <c r="B796" s="19"/>
      <c r="J796" s="13"/>
    </row>
    <row r="797" spans="2:10" ht="13">
      <c r="B797" s="19"/>
      <c r="J797" s="13"/>
    </row>
    <row r="798" spans="2:10" ht="13">
      <c r="B798" s="19"/>
      <c r="J798" s="13"/>
    </row>
    <row r="799" spans="2:10" ht="13">
      <c r="B799" s="19"/>
      <c r="J799" s="13"/>
    </row>
    <row r="800" spans="2:10" ht="13">
      <c r="B800" s="19"/>
      <c r="J800" s="13"/>
    </row>
    <row r="801" spans="2:10" ht="13">
      <c r="B801" s="19"/>
      <c r="J801" s="13"/>
    </row>
    <row r="802" spans="2:10" ht="13">
      <c r="B802" s="19"/>
      <c r="J802" s="13"/>
    </row>
    <row r="803" spans="2:10" ht="13">
      <c r="B803" s="19"/>
      <c r="J803" s="13"/>
    </row>
    <row r="804" spans="2:10" ht="13">
      <c r="B804" s="19"/>
      <c r="J804" s="13"/>
    </row>
    <row r="805" spans="2:10" ht="13">
      <c r="B805" s="19"/>
      <c r="J805" s="13"/>
    </row>
    <row r="806" spans="2:10" ht="13">
      <c r="B806" s="19"/>
      <c r="J806" s="13"/>
    </row>
    <row r="807" spans="2:10" ht="13">
      <c r="B807" s="19"/>
      <c r="J807" s="13"/>
    </row>
    <row r="808" spans="2:10" ht="13">
      <c r="B808" s="19"/>
      <c r="J808" s="13"/>
    </row>
    <row r="809" spans="2:10" ht="13">
      <c r="B809" s="19"/>
      <c r="J809" s="13"/>
    </row>
    <row r="810" spans="2:10" ht="13">
      <c r="B810" s="19"/>
      <c r="J810" s="13"/>
    </row>
    <row r="811" spans="2:10" ht="13">
      <c r="B811" s="19"/>
      <c r="J811" s="13"/>
    </row>
    <row r="812" spans="2:10" ht="13">
      <c r="B812" s="19"/>
      <c r="J812" s="13"/>
    </row>
    <row r="813" spans="2:10" ht="13">
      <c r="B813" s="19"/>
      <c r="J813" s="13"/>
    </row>
    <row r="814" spans="2:10" ht="13">
      <c r="B814" s="19"/>
      <c r="J814" s="13"/>
    </row>
    <row r="815" spans="2:10" ht="13">
      <c r="B815" s="19"/>
      <c r="J815" s="13"/>
    </row>
    <row r="816" spans="2:10" ht="13">
      <c r="B816" s="19"/>
      <c r="J816" s="13"/>
    </row>
    <row r="817" spans="2:10" ht="13">
      <c r="B817" s="19"/>
      <c r="J817" s="13"/>
    </row>
    <row r="818" spans="2:10" ht="13">
      <c r="B818" s="19"/>
      <c r="J818" s="13"/>
    </row>
    <row r="819" spans="2:10" ht="13">
      <c r="B819" s="19"/>
      <c r="J819" s="13"/>
    </row>
    <row r="820" spans="2:10" ht="13">
      <c r="B820" s="19"/>
      <c r="J820" s="13"/>
    </row>
    <row r="821" spans="2:10" ht="13">
      <c r="B821" s="19"/>
      <c r="J821" s="13"/>
    </row>
    <row r="822" spans="2:10" ht="13">
      <c r="B822" s="19"/>
      <c r="J822" s="13"/>
    </row>
    <row r="823" spans="2:10" ht="13">
      <c r="B823" s="19"/>
      <c r="J823" s="13"/>
    </row>
    <row r="824" spans="2:10" ht="13">
      <c r="B824" s="19"/>
      <c r="J824" s="13"/>
    </row>
    <row r="825" spans="2:10" ht="13">
      <c r="B825" s="19"/>
      <c r="J825" s="13"/>
    </row>
    <row r="826" spans="2:10" ht="13">
      <c r="B826" s="19"/>
      <c r="J826" s="13"/>
    </row>
    <row r="827" spans="2:10" ht="13">
      <c r="B827" s="19"/>
      <c r="J827" s="13"/>
    </row>
    <row r="828" spans="2:10" ht="13">
      <c r="B828" s="19"/>
      <c r="J828" s="13"/>
    </row>
    <row r="829" spans="2:10" ht="13">
      <c r="B829" s="19"/>
      <c r="J829" s="13"/>
    </row>
    <row r="830" spans="2:10" ht="13">
      <c r="B830" s="19"/>
      <c r="J830" s="13"/>
    </row>
    <row r="831" spans="2:10" ht="13">
      <c r="B831" s="19"/>
      <c r="J831" s="13"/>
    </row>
    <row r="832" spans="2:10" ht="13">
      <c r="B832" s="19"/>
      <c r="J832" s="13"/>
    </row>
    <row r="833" spans="2:10" ht="13">
      <c r="B833" s="19"/>
      <c r="J833" s="13"/>
    </row>
    <row r="834" spans="2:10" ht="13">
      <c r="B834" s="19"/>
      <c r="J834" s="13"/>
    </row>
    <row r="835" spans="2:10" ht="13">
      <c r="B835" s="19"/>
      <c r="J835" s="13"/>
    </row>
    <row r="836" spans="2:10" ht="13">
      <c r="B836" s="19"/>
      <c r="J836" s="13"/>
    </row>
    <row r="837" spans="2:10" ht="13">
      <c r="B837" s="19"/>
      <c r="J837" s="13"/>
    </row>
    <row r="838" spans="2:10" ht="13">
      <c r="B838" s="19"/>
      <c r="J838" s="13"/>
    </row>
    <row r="839" spans="2:10" ht="13">
      <c r="B839" s="19"/>
      <c r="J839" s="13"/>
    </row>
    <row r="840" spans="2:10" ht="13">
      <c r="B840" s="19"/>
      <c r="J840" s="13"/>
    </row>
    <row r="841" spans="2:10" ht="13">
      <c r="B841" s="19"/>
      <c r="J841" s="13"/>
    </row>
    <row r="842" spans="2:10" ht="13">
      <c r="B842" s="19"/>
      <c r="J842" s="13"/>
    </row>
    <row r="843" spans="2:10" ht="13">
      <c r="B843" s="19"/>
      <c r="J843" s="13"/>
    </row>
    <row r="844" spans="2:10" ht="13">
      <c r="B844" s="19"/>
      <c r="J844" s="13"/>
    </row>
    <row r="845" spans="2:10" ht="13">
      <c r="B845" s="19"/>
      <c r="J845" s="13"/>
    </row>
    <row r="846" spans="2:10" ht="13">
      <c r="B846" s="19"/>
      <c r="J846" s="13"/>
    </row>
    <row r="847" spans="2:10" ht="13">
      <c r="B847" s="19"/>
      <c r="J847" s="13"/>
    </row>
    <row r="848" spans="2:10" ht="13">
      <c r="B848" s="19"/>
      <c r="J848" s="13"/>
    </row>
    <row r="849" spans="2:10" ht="13">
      <c r="B849" s="19"/>
      <c r="J849" s="13"/>
    </row>
    <row r="850" spans="2:10" ht="13">
      <c r="B850" s="19"/>
      <c r="J850" s="13"/>
    </row>
    <row r="851" spans="2:10" ht="13">
      <c r="B851" s="19"/>
      <c r="J851" s="13"/>
    </row>
    <row r="852" spans="2:10" ht="13">
      <c r="B852" s="19"/>
      <c r="J852" s="13"/>
    </row>
    <row r="853" spans="2:10" ht="13">
      <c r="B853" s="19"/>
      <c r="J853" s="13"/>
    </row>
    <row r="854" spans="2:10" ht="13">
      <c r="B854" s="19"/>
      <c r="J854" s="13"/>
    </row>
    <row r="855" spans="2:10" ht="13">
      <c r="B855" s="19"/>
      <c r="J855" s="13"/>
    </row>
    <row r="856" spans="2:10" ht="13">
      <c r="B856" s="19"/>
      <c r="J856" s="13"/>
    </row>
    <row r="857" spans="2:10" ht="13">
      <c r="B857" s="19"/>
      <c r="J857" s="13"/>
    </row>
    <row r="858" spans="2:10" ht="13">
      <c r="B858" s="19"/>
      <c r="J858" s="13"/>
    </row>
    <row r="859" spans="2:10" ht="13">
      <c r="B859" s="19"/>
      <c r="J859" s="13"/>
    </row>
    <row r="860" spans="2:10" ht="13">
      <c r="B860" s="19"/>
      <c r="J860" s="13"/>
    </row>
    <row r="861" spans="2:10" ht="13">
      <c r="B861" s="19"/>
      <c r="J861" s="13"/>
    </row>
    <row r="862" spans="2:10" ht="13">
      <c r="B862" s="19"/>
      <c r="J862" s="13"/>
    </row>
    <row r="863" spans="2:10" ht="13">
      <c r="B863" s="19"/>
      <c r="J863" s="13"/>
    </row>
    <row r="864" spans="2:10" ht="13">
      <c r="B864" s="19"/>
      <c r="J864" s="13"/>
    </row>
    <row r="865" spans="2:10" ht="13">
      <c r="B865" s="19"/>
      <c r="J865" s="13"/>
    </row>
    <row r="866" spans="2:10" ht="13">
      <c r="B866" s="19"/>
      <c r="J866" s="13"/>
    </row>
    <row r="867" spans="2:10" ht="13">
      <c r="B867" s="19"/>
      <c r="J867" s="13"/>
    </row>
    <row r="868" spans="2:10" ht="13">
      <c r="B868" s="19"/>
      <c r="J868" s="13"/>
    </row>
    <row r="869" spans="2:10" ht="13">
      <c r="B869" s="19"/>
      <c r="J869" s="13"/>
    </row>
    <row r="870" spans="2:10" ht="13">
      <c r="B870" s="19"/>
      <c r="J870" s="13"/>
    </row>
    <row r="871" spans="2:10" ht="13">
      <c r="B871" s="19"/>
      <c r="J871" s="13"/>
    </row>
    <row r="872" spans="2:10" ht="13">
      <c r="B872" s="19"/>
      <c r="J872" s="13"/>
    </row>
    <row r="873" spans="2:10" ht="13">
      <c r="B873" s="19"/>
      <c r="J873" s="13"/>
    </row>
    <row r="874" spans="2:10" ht="13">
      <c r="B874" s="19"/>
      <c r="J874" s="13"/>
    </row>
    <row r="875" spans="2:10" ht="13">
      <c r="B875" s="19"/>
      <c r="J875" s="13"/>
    </row>
    <row r="876" spans="2:10" ht="13">
      <c r="B876" s="19"/>
      <c r="J876" s="13"/>
    </row>
    <row r="877" spans="2:10" ht="13">
      <c r="B877" s="19"/>
      <c r="J877" s="13"/>
    </row>
    <row r="878" spans="2:10" ht="13">
      <c r="B878" s="19"/>
      <c r="J878" s="13"/>
    </row>
    <row r="879" spans="2:10" ht="13">
      <c r="B879" s="19"/>
      <c r="J879" s="13"/>
    </row>
    <row r="880" spans="2:10" ht="13">
      <c r="B880" s="19"/>
      <c r="J880" s="13"/>
    </row>
    <row r="881" spans="2:10" ht="13">
      <c r="B881" s="19"/>
      <c r="J881" s="13"/>
    </row>
    <row r="882" spans="2:10" ht="13">
      <c r="B882" s="19"/>
      <c r="J882" s="13"/>
    </row>
    <row r="883" spans="2:10" ht="13">
      <c r="B883" s="19"/>
      <c r="J883" s="13"/>
    </row>
    <row r="884" spans="2:10" ht="13">
      <c r="B884" s="19"/>
      <c r="J884" s="13"/>
    </row>
    <row r="885" spans="2:10" ht="13">
      <c r="B885" s="19"/>
      <c r="J885" s="13"/>
    </row>
    <row r="886" spans="2:10" ht="13">
      <c r="B886" s="19"/>
      <c r="J886" s="13"/>
    </row>
    <row r="887" spans="2:10" ht="13">
      <c r="B887" s="19"/>
      <c r="J887" s="13"/>
    </row>
    <row r="888" spans="2:10" ht="13">
      <c r="B888" s="19"/>
      <c r="J888" s="13"/>
    </row>
    <row r="889" spans="2:10" ht="13">
      <c r="B889" s="19"/>
      <c r="J889" s="13"/>
    </row>
    <row r="890" spans="2:10" ht="13">
      <c r="B890" s="19"/>
      <c r="J890" s="13"/>
    </row>
    <row r="891" spans="2:10" ht="13">
      <c r="B891" s="19"/>
      <c r="J891" s="13"/>
    </row>
    <row r="892" spans="2:10" ht="13">
      <c r="B892" s="19"/>
      <c r="J892" s="13"/>
    </row>
    <row r="893" spans="2:10" ht="13">
      <c r="B893" s="19"/>
      <c r="J893" s="13"/>
    </row>
    <row r="894" spans="2:10" ht="13">
      <c r="B894" s="19"/>
      <c r="J894" s="13"/>
    </row>
    <row r="895" spans="2:10" ht="13">
      <c r="B895" s="19"/>
      <c r="J895" s="13"/>
    </row>
    <row r="896" spans="2:10" ht="13">
      <c r="B896" s="19"/>
      <c r="J896" s="13"/>
    </row>
    <row r="897" spans="2:10" ht="13">
      <c r="B897" s="19"/>
      <c r="J897" s="13"/>
    </row>
    <row r="898" spans="2:10" ht="13">
      <c r="B898" s="19"/>
      <c r="J898" s="13"/>
    </row>
    <row r="899" spans="2:10" ht="13">
      <c r="B899" s="19"/>
      <c r="J899" s="13"/>
    </row>
    <row r="900" spans="2:10" ht="13">
      <c r="B900" s="19"/>
      <c r="J900" s="13"/>
    </row>
    <row r="901" spans="2:10" ht="13">
      <c r="B901" s="19"/>
      <c r="J901" s="13"/>
    </row>
    <row r="902" spans="2:10" ht="13">
      <c r="B902" s="19"/>
      <c r="J902" s="13"/>
    </row>
    <row r="903" spans="2:10" ht="13">
      <c r="B903" s="19"/>
      <c r="J903" s="13"/>
    </row>
    <row r="904" spans="2:10" ht="13">
      <c r="B904" s="19"/>
      <c r="J904" s="13"/>
    </row>
    <row r="905" spans="2:10" ht="13">
      <c r="B905" s="19"/>
      <c r="J905" s="13"/>
    </row>
    <row r="906" spans="2:10" ht="13">
      <c r="B906" s="19"/>
      <c r="J906" s="13"/>
    </row>
    <row r="907" spans="2:10" ht="13">
      <c r="B907" s="19"/>
      <c r="J907" s="13"/>
    </row>
    <row r="908" spans="2:10" ht="13">
      <c r="B908" s="19"/>
      <c r="J908" s="13"/>
    </row>
    <row r="909" spans="2:10" ht="13">
      <c r="B909" s="19"/>
      <c r="J909" s="13"/>
    </row>
    <row r="910" spans="2:10" ht="13">
      <c r="B910" s="19"/>
      <c r="J910" s="13"/>
    </row>
    <row r="911" spans="2:10" ht="13">
      <c r="B911" s="19"/>
      <c r="J911" s="13"/>
    </row>
    <row r="912" spans="2:10" ht="13">
      <c r="B912" s="19"/>
      <c r="J912" s="13"/>
    </row>
    <row r="913" spans="2:10" ht="13">
      <c r="B913" s="19"/>
      <c r="J913" s="13"/>
    </row>
    <row r="914" spans="2:10" ht="13">
      <c r="B914" s="19"/>
      <c r="J914" s="13"/>
    </row>
    <row r="915" spans="2:10" ht="13">
      <c r="B915" s="19"/>
      <c r="J915" s="13"/>
    </row>
    <row r="916" spans="2:10" ht="13">
      <c r="B916" s="19"/>
      <c r="J916" s="13"/>
    </row>
    <row r="917" spans="2:10" ht="13">
      <c r="B917" s="19"/>
      <c r="J917" s="13"/>
    </row>
    <row r="918" spans="2:10" ht="13">
      <c r="B918" s="19"/>
      <c r="J918" s="13"/>
    </row>
    <row r="919" spans="2:10" ht="13">
      <c r="B919" s="19"/>
      <c r="J919" s="13"/>
    </row>
    <row r="920" spans="2:10" ht="13">
      <c r="B920" s="19"/>
      <c r="J920" s="13"/>
    </row>
    <row r="921" spans="2:10" ht="13">
      <c r="B921" s="19"/>
      <c r="J921" s="13"/>
    </row>
    <row r="922" spans="2:10" ht="13">
      <c r="B922" s="19"/>
      <c r="J922" s="13"/>
    </row>
    <row r="923" spans="2:10" ht="13">
      <c r="B923" s="19"/>
      <c r="J923" s="13"/>
    </row>
    <row r="924" spans="2:10" ht="13">
      <c r="B924" s="19"/>
      <c r="J924" s="13"/>
    </row>
    <row r="925" spans="2:10" ht="13">
      <c r="B925" s="19"/>
      <c r="J925" s="13"/>
    </row>
    <row r="926" spans="2:10" ht="13">
      <c r="B926" s="19"/>
      <c r="J926" s="13"/>
    </row>
    <row r="927" spans="2:10" ht="13">
      <c r="B927" s="19"/>
      <c r="J927" s="13"/>
    </row>
    <row r="928" spans="2:10" ht="13">
      <c r="B928" s="19"/>
      <c r="J928" s="13"/>
    </row>
    <row r="929" spans="2:10" ht="13">
      <c r="B929" s="19"/>
      <c r="J929" s="13"/>
    </row>
    <row r="930" spans="2:10" ht="13">
      <c r="B930" s="19"/>
      <c r="J930" s="13"/>
    </row>
    <row r="931" spans="2:10" ht="13">
      <c r="B931" s="19"/>
      <c r="J931" s="13"/>
    </row>
    <row r="932" spans="2:10" ht="13">
      <c r="B932" s="19"/>
      <c r="J932" s="13"/>
    </row>
    <row r="933" spans="2:10" ht="13">
      <c r="B933" s="19"/>
      <c r="J933" s="13"/>
    </row>
    <row r="934" spans="2:10" ht="13">
      <c r="B934" s="19"/>
      <c r="J934" s="13"/>
    </row>
    <row r="935" spans="2:10" ht="13">
      <c r="B935" s="19"/>
      <c r="J935" s="13"/>
    </row>
    <row r="936" spans="2:10" ht="13">
      <c r="B936" s="19"/>
      <c r="J936" s="13"/>
    </row>
    <row r="937" spans="2:10" ht="13">
      <c r="B937" s="19"/>
      <c r="J937" s="13"/>
    </row>
    <row r="938" spans="2:10" ht="13">
      <c r="B938" s="19"/>
      <c r="J938" s="13"/>
    </row>
    <row r="939" spans="2:10" ht="13">
      <c r="B939" s="19"/>
      <c r="J939" s="13"/>
    </row>
    <row r="940" spans="2:10" ht="13">
      <c r="B940" s="19"/>
      <c r="J940" s="13"/>
    </row>
    <row r="941" spans="2:10" ht="13">
      <c r="B941" s="19"/>
      <c r="J941" s="13"/>
    </row>
    <row r="942" spans="2:10" ht="13">
      <c r="B942" s="19"/>
      <c r="J942" s="13"/>
    </row>
    <row r="943" spans="2:10" ht="13">
      <c r="B943" s="19"/>
      <c r="J943" s="13"/>
    </row>
    <row r="944" spans="2:10" ht="13">
      <c r="B944" s="19"/>
      <c r="J944" s="13"/>
    </row>
    <row r="945" spans="2:10" ht="13">
      <c r="B945" s="19"/>
      <c r="J945" s="13"/>
    </row>
    <row r="946" spans="2:10" ht="13">
      <c r="B946" s="19"/>
      <c r="J946" s="13"/>
    </row>
    <row r="947" spans="2:10" ht="13">
      <c r="B947" s="19"/>
      <c r="J947" s="13"/>
    </row>
    <row r="948" spans="2:10" ht="13">
      <c r="B948" s="19"/>
      <c r="J948" s="13"/>
    </row>
    <row r="949" spans="2:10" ht="13">
      <c r="B949" s="19"/>
      <c r="J949" s="13"/>
    </row>
    <row r="950" spans="2:10" ht="13">
      <c r="B950" s="19"/>
      <c r="J950" s="13"/>
    </row>
    <row r="951" spans="2:10" ht="13">
      <c r="B951" s="19"/>
      <c r="J951" s="13"/>
    </row>
    <row r="952" spans="2:10" ht="13">
      <c r="B952" s="19"/>
      <c r="J952" s="13"/>
    </row>
    <row r="953" spans="2:10" ht="13">
      <c r="B953" s="19"/>
      <c r="J953" s="13"/>
    </row>
    <row r="954" spans="2:10" ht="13">
      <c r="B954" s="19"/>
      <c r="J954" s="13"/>
    </row>
    <row r="955" spans="2:10" ht="13">
      <c r="B955" s="19"/>
      <c r="J955" s="13"/>
    </row>
    <row r="956" spans="2:10" ht="13">
      <c r="B956" s="19"/>
      <c r="J956" s="13"/>
    </row>
    <row r="957" spans="2:10" ht="13">
      <c r="B957" s="19"/>
      <c r="J957" s="13"/>
    </row>
    <row r="958" spans="2:10" ht="13">
      <c r="B958" s="19"/>
      <c r="J958" s="13"/>
    </row>
    <row r="959" spans="2:10" ht="13">
      <c r="B959" s="19"/>
      <c r="J959" s="13"/>
    </row>
    <row r="960" spans="2:10" ht="13">
      <c r="B960" s="19"/>
      <c r="J960" s="13"/>
    </row>
    <row r="961" spans="2:10" ht="13">
      <c r="B961" s="19"/>
      <c r="J961" s="13"/>
    </row>
    <row r="962" spans="2:10" ht="13">
      <c r="B962" s="19"/>
      <c r="J962" s="13"/>
    </row>
    <row r="963" spans="2:10" ht="13">
      <c r="B963" s="19"/>
      <c r="J963" s="13"/>
    </row>
    <row r="964" spans="2:10" ht="13">
      <c r="B964" s="19"/>
      <c r="J964" s="13"/>
    </row>
    <row r="965" spans="2:10" ht="13">
      <c r="B965" s="19"/>
      <c r="J965" s="13"/>
    </row>
    <row r="966" spans="2:10" ht="13">
      <c r="B966" s="19"/>
      <c r="J966" s="13"/>
    </row>
    <row r="967" spans="2:10" ht="13">
      <c r="B967" s="19"/>
      <c r="J967" s="13"/>
    </row>
    <row r="968" spans="2:10" ht="13">
      <c r="B968" s="19"/>
      <c r="J968" s="13"/>
    </row>
    <row r="969" spans="2:10" ht="13">
      <c r="B969" s="19"/>
      <c r="J969" s="13"/>
    </row>
    <row r="970" spans="2:10" ht="13">
      <c r="B970" s="19"/>
      <c r="J970" s="13"/>
    </row>
    <row r="971" spans="2:10" ht="13">
      <c r="B971" s="19"/>
      <c r="J971" s="13"/>
    </row>
    <row r="972" spans="2:10" ht="13">
      <c r="B972" s="19"/>
      <c r="J972" s="13"/>
    </row>
    <row r="973" spans="2:10" ht="13">
      <c r="B973" s="19"/>
      <c r="J973" s="13"/>
    </row>
    <row r="974" spans="2:10" ht="13">
      <c r="B974" s="19"/>
      <c r="J974" s="13"/>
    </row>
    <row r="975" spans="2:10" ht="13">
      <c r="B975" s="19"/>
      <c r="J975" s="13"/>
    </row>
    <row r="976" spans="2:10" ht="13">
      <c r="B976" s="19"/>
      <c r="J976" s="13"/>
    </row>
    <row r="977" spans="2:10" ht="13">
      <c r="B977" s="19"/>
      <c r="J977" s="13"/>
    </row>
    <row r="978" spans="2:10" ht="13">
      <c r="B978" s="19"/>
      <c r="J978" s="13"/>
    </row>
    <row r="979" spans="2:10" ht="13">
      <c r="B979" s="19"/>
      <c r="J979" s="13"/>
    </row>
    <row r="980" spans="2:10" ht="13">
      <c r="B980" s="19"/>
      <c r="J980" s="13"/>
    </row>
    <row r="981" spans="2:10" ht="13">
      <c r="B981" s="19"/>
      <c r="J981" s="13"/>
    </row>
    <row r="982" spans="2:10" ht="13">
      <c r="B982" s="19"/>
      <c r="J982" s="13"/>
    </row>
    <row r="983" spans="2:10" ht="13">
      <c r="B983" s="19"/>
      <c r="J983" s="13"/>
    </row>
    <row r="984" spans="2:10" ht="13">
      <c r="B984" s="19"/>
      <c r="J984" s="13"/>
    </row>
    <row r="985" spans="2:10" ht="13">
      <c r="B985" s="19"/>
      <c r="J985" s="13"/>
    </row>
    <row r="986" spans="2:10" ht="13">
      <c r="B986" s="19"/>
      <c r="J986" s="13"/>
    </row>
    <row r="987" spans="2:10" ht="13">
      <c r="B987" s="19"/>
      <c r="J987" s="13"/>
    </row>
    <row r="988" spans="2:10" ht="13">
      <c r="B988" s="19"/>
      <c r="J988" s="13"/>
    </row>
    <row r="989" spans="2:10" ht="13">
      <c r="B989" s="19"/>
      <c r="J989" s="13"/>
    </row>
    <row r="990" spans="2:10" ht="13">
      <c r="B990" s="19"/>
      <c r="J990" s="13"/>
    </row>
    <row r="991" spans="2:10" ht="13">
      <c r="B991" s="19"/>
      <c r="J991" s="13"/>
    </row>
    <row r="992" spans="2:10" ht="13">
      <c r="B992" s="19"/>
      <c r="J992" s="13"/>
    </row>
    <row r="993" spans="2:10" ht="13">
      <c r="B993" s="19"/>
      <c r="J993" s="13"/>
    </row>
    <row r="994" spans="2:10" ht="13">
      <c r="B994" s="19"/>
      <c r="J994" s="13"/>
    </row>
    <row r="995" spans="2:10" ht="13">
      <c r="B995" s="19"/>
      <c r="J995" s="13"/>
    </row>
    <row r="996" spans="2:10" ht="13">
      <c r="B996" s="19"/>
      <c r="J996" s="13"/>
    </row>
    <row r="997" spans="2:10" ht="13">
      <c r="B997" s="19"/>
      <c r="J997" s="13"/>
    </row>
    <row r="998" spans="2:10" ht="13">
      <c r="B998" s="19"/>
      <c r="J998" s="13"/>
    </row>
    <row r="999" spans="2:10" ht="13">
      <c r="B999" s="19"/>
      <c r="J999" s="13"/>
    </row>
    <row r="1000" spans="2:10" ht="13">
      <c r="B1000" s="19"/>
      <c r="J1000" s="13"/>
    </row>
    <row r="1001" spans="2:10" ht="13">
      <c r="B1001" s="19"/>
      <c r="J1001" s="13"/>
    </row>
    <row r="1002" spans="2:10" ht="13">
      <c r="B1002" s="19"/>
      <c r="J1002" s="13"/>
    </row>
    <row r="1003" spans="2:10" ht="13">
      <c r="B1003" s="19"/>
      <c r="J1003" s="13"/>
    </row>
    <row r="1004" spans="2:10" ht="13">
      <c r="B1004" s="19"/>
      <c r="J1004" s="13"/>
    </row>
    <row r="1005" spans="2:10" ht="13">
      <c r="B1005" s="19"/>
      <c r="J1005" s="13"/>
    </row>
    <row r="1006" spans="2:10" ht="13">
      <c r="B1006" s="19"/>
      <c r="J1006" s="13"/>
    </row>
    <row r="1007" spans="2:10" ht="13">
      <c r="B1007" s="19"/>
      <c r="J1007" s="13"/>
    </row>
    <row r="1008" spans="2:10" ht="13">
      <c r="B1008" s="19"/>
      <c r="J1008" s="13"/>
    </row>
    <row r="1009" spans="2:10" ht="13">
      <c r="B1009" s="19"/>
      <c r="J1009" s="13"/>
    </row>
    <row r="1010" spans="2:10" ht="13">
      <c r="B1010" s="19"/>
      <c r="J1010" s="13"/>
    </row>
    <row r="1011" spans="2:10" ht="13">
      <c r="B1011" s="19"/>
      <c r="J1011" s="13"/>
    </row>
    <row r="1012" spans="2:10" ht="13">
      <c r="B1012" s="19"/>
      <c r="J1012" s="13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30" r:id="rId26" xr:uid="{00000000-0004-0000-0000-000019000000}"/>
    <hyperlink ref="J31" r:id="rId27" xr:uid="{00000000-0004-0000-0000-00001A000000}"/>
    <hyperlink ref="J32" r:id="rId28" xr:uid="{00000000-0004-0000-0000-00001B000000}"/>
    <hyperlink ref="J33" r:id="rId29" xr:uid="{00000000-0004-0000-0000-00001C000000}"/>
    <hyperlink ref="J34" r:id="rId30" xr:uid="{00000000-0004-0000-0000-00001D000000}"/>
    <hyperlink ref="J35" r:id="rId31" xr:uid="{00000000-0004-0000-0000-00001E000000}"/>
    <hyperlink ref="J36" r:id="rId32" xr:uid="{00000000-0004-0000-0000-00001F000000}"/>
    <hyperlink ref="J37" r:id="rId33" xr:uid="{00000000-0004-0000-0000-000020000000}"/>
    <hyperlink ref="J38" r:id="rId34" xr:uid="{00000000-0004-0000-0000-000021000000}"/>
    <hyperlink ref="J39" r:id="rId35" xr:uid="{00000000-0004-0000-0000-000022000000}"/>
    <hyperlink ref="J40" r:id="rId36" xr:uid="{00000000-0004-0000-0000-000023000000}"/>
    <hyperlink ref="J41" r:id="rId37" xr:uid="{00000000-0004-0000-0000-000024000000}"/>
    <hyperlink ref="J42" r:id="rId38" xr:uid="{00000000-0004-0000-0000-000025000000}"/>
    <hyperlink ref="J43" r:id="rId39" xr:uid="{00000000-0004-0000-0000-000026000000}"/>
    <hyperlink ref="J44" r:id="rId40" xr:uid="{00000000-0004-0000-0000-000027000000}"/>
    <hyperlink ref="J45" r:id="rId41" xr:uid="{00000000-0004-0000-0000-000028000000}"/>
    <hyperlink ref="J46" r:id="rId42" xr:uid="{00000000-0004-0000-0000-000029000000}"/>
    <hyperlink ref="J57" r:id="rId43" xr:uid="{00000000-0004-0000-0000-00002A000000}"/>
    <hyperlink ref="J58" r:id="rId44" xr:uid="{00000000-0004-0000-0000-00002B000000}"/>
    <hyperlink ref="J59" r:id="rId45" xr:uid="{00000000-0004-0000-0000-00002C000000}"/>
    <hyperlink ref="I60" r:id="rId46" xr:uid="{00000000-0004-0000-0000-00002D000000}"/>
    <hyperlink ref="J60" r:id="rId47" xr:uid="{00000000-0004-0000-0000-00002E000000}"/>
    <hyperlink ref="I61" r:id="rId48" xr:uid="{00000000-0004-0000-0000-00002F000000}"/>
    <hyperlink ref="J61" r:id="rId49" xr:uid="{00000000-0004-0000-0000-000030000000}"/>
    <hyperlink ref="J62" r:id="rId50" xr:uid="{00000000-0004-0000-0000-000031000000}"/>
    <hyperlink ref="J63" r:id="rId51" xr:uid="{00000000-0004-0000-0000-000032000000}"/>
    <hyperlink ref="J64" r:id="rId52" xr:uid="{00000000-0004-0000-0000-000033000000}"/>
    <hyperlink ref="J65" r:id="rId53" xr:uid="{00000000-0004-0000-0000-000034000000}"/>
    <hyperlink ref="J66" r:id="rId54" xr:uid="{00000000-0004-0000-0000-000035000000}"/>
    <hyperlink ref="J67" r:id="rId55" xr:uid="{00000000-0004-0000-0000-000036000000}"/>
    <hyperlink ref="J68" r:id="rId56" xr:uid="{00000000-0004-0000-0000-000037000000}"/>
    <hyperlink ref="J69" r:id="rId57" xr:uid="{00000000-0004-0000-0000-000038000000}"/>
    <hyperlink ref="J70" r:id="rId58" xr:uid="{00000000-0004-0000-0000-000039000000}"/>
    <hyperlink ref="J71" r:id="rId59" xr:uid="{00000000-0004-0000-0000-00003A000000}"/>
    <hyperlink ref="J72" r:id="rId60" xr:uid="{00000000-0004-0000-0000-00003B000000}"/>
    <hyperlink ref="J73" r:id="rId61" xr:uid="{00000000-0004-0000-0000-00003C000000}"/>
    <hyperlink ref="J74" r:id="rId62" xr:uid="{00000000-0004-0000-0000-00003D000000}"/>
    <hyperlink ref="J75" r:id="rId63" xr:uid="{00000000-0004-0000-0000-00003E000000}"/>
    <hyperlink ref="J76" r:id="rId64" xr:uid="{00000000-0004-0000-0000-00003F000000}"/>
    <hyperlink ref="J77" r:id="rId65" xr:uid="{00000000-0004-0000-0000-000040000000}"/>
    <hyperlink ref="J78" r:id="rId66" xr:uid="{00000000-0004-0000-0000-000041000000}"/>
    <hyperlink ref="J79" r:id="rId67" xr:uid="{00000000-0004-0000-0000-000042000000}"/>
    <hyperlink ref="J80" r:id="rId68" xr:uid="{00000000-0004-0000-0000-000043000000}"/>
    <hyperlink ref="J81" r:id="rId69" xr:uid="{00000000-0004-0000-0000-000044000000}"/>
    <hyperlink ref="J82" r:id="rId70" xr:uid="{00000000-0004-0000-0000-000045000000}"/>
    <hyperlink ref="J83" r:id="rId71" xr:uid="{00000000-0004-0000-0000-000046000000}"/>
    <hyperlink ref="J84" r:id="rId72" xr:uid="{00000000-0004-0000-0000-000047000000}"/>
    <hyperlink ref="J85" r:id="rId73" xr:uid="{00000000-0004-0000-0000-000048000000}"/>
    <hyperlink ref="J86" r:id="rId74" xr:uid="{00000000-0004-0000-0000-000049000000}"/>
    <hyperlink ref="J87" r:id="rId75" xr:uid="{00000000-0004-0000-0000-00004A000000}"/>
    <hyperlink ref="J88" r:id="rId76" xr:uid="{00000000-0004-0000-0000-00004B000000}"/>
    <hyperlink ref="J89" r:id="rId77" xr:uid="{00000000-0004-0000-0000-00004C000000}"/>
    <hyperlink ref="J90" r:id="rId78" xr:uid="{00000000-0004-0000-0000-00004D000000}"/>
    <hyperlink ref="J91" r:id="rId79" xr:uid="{00000000-0004-0000-0000-00004E000000}"/>
    <hyperlink ref="J92" r:id="rId80" xr:uid="{00000000-0004-0000-0000-00004F000000}"/>
    <hyperlink ref="J93" r:id="rId81" xr:uid="{00000000-0004-0000-0000-000050000000}"/>
    <hyperlink ref="J94" r:id="rId82" xr:uid="{00000000-0004-0000-0000-000051000000}"/>
    <hyperlink ref="J95" r:id="rId83" xr:uid="{00000000-0004-0000-0000-000052000000}"/>
    <hyperlink ref="J96" r:id="rId84" xr:uid="{00000000-0004-0000-0000-000053000000}"/>
    <hyperlink ref="J97" r:id="rId85" xr:uid="{00000000-0004-0000-0000-000054000000}"/>
    <hyperlink ref="J98" r:id="rId86" xr:uid="{00000000-0004-0000-0000-000055000000}"/>
    <hyperlink ref="J99" r:id="rId87" xr:uid="{00000000-0004-0000-0000-000056000000}"/>
    <hyperlink ref="J100" r:id="rId88" xr:uid="{00000000-0004-0000-0000-000057000000}"/>
    <hyperlink ref="J101" r:id="rId89" xr:uid="{00000000-0004-0000-0000-000058000000}"/>
    <hyperlink ref="J102" r:id="rId90" xr:uid="{00000000-0004-0000-0000-000059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2"/>
  <sheetViews>
    <sheetView tabSelected="1" workbookViewId="0">
      <pane ySplit="1" topLeftCell="A2" activePane="bottomLeft" state="frozen"/>
      <selection pane="bottomLeft" activeCell="E39" sqref="E39"/>
    </sheetView>
  </sheetViews>
  <sheetFormatPr baseColWidth="10" defaultColWidth="12.6640625" defaultRowHeight="15.75" customHeight="1"/>
  <cols>
    <col min="1" max="1" width="13.1640625" customWidth="1"/>
    <col min="2" max="2" width="19.6640625" customWidth="1"/>
    <col min="3" max="3" width="15" customWidth="1"/>
    <col min="4" max="4" width="36.33203125" customWidth="1"/>
    <col min="5" max="5" width="17.1640625" customWidth="1"/>
  </cols>
  <sheetData>
    <row r="1" spans="1:15" ht="22.5" customHeight="1">
      <c r="A1" s="44" t="s">
        <v>375</v>
      </c>
      <c r="B1" s="44" t="s">
        <v>376</v>
      </c>
      <c r="C1" s="44" t="s">
        <v>8</v>
      </c>
      <c r="D1" s="44" t="s">
        <v>377</v>
      </c>
      <c r="E1" s="45" t="s">
        <v>378</v>
      </c>
      <c r="F1" s="45" t="s">
        <v>379</v>
      </c>
      <c r="G1" s="46" t="s">
        <v>380</v>
      </c>
      <c r="H1" s="47" t="s">
        <v>381</v>
      </c>
      <c r="I1" s="46" t="s">
        <v>382</v>
      </c>
      <c r="J1" s="45" t="s">
        <v>383</v>
      </c>
      <c r="L1" s="48"/>
      <c r="M1" s="48"/>
      <c r="N1" s="48"/>
      <c r="O1" s="48"/>
    </row>
    <row r="2" spans="1:15" ht="22.5" customHeight="1">
      <c r="A2" s="49">
        <v>1</v>
      </c>
      <c r="B2" s="50" t="s">
        <v>384</v>
      </c>
      <c r="C2" s="50" t="s">
        <v>44</v>
      </c>
      <c r="D2" s="50" t="s">
        <v>385</v>
      </c>
      <c r="E2" s="51" t="s">
        <v>386</v>
      </c>
      <c r="F2" s="51"/>
      <c r="G2" s="52">
        <v>46083</v>
      </c>
      <c r="H2" s="51" t="s">
        <v>387</v>
      </c>
      <c r="I2" s="52"/>
      <c r="J2" s="51"/>
      <c r="L2" s="53"/>
      <c r="M2" s="48"/>
      <c r="N2" s="48"/>
      <c r="O2" s="48"/>
    </row>
    <row r="3" spans="1:15" ht="22.5" customHeight="1">
      <c r="A3" s="49">
        <v>2</v>
      </c>
      <c r="B3" s="50" t="s">
        <v>388</v>
      </c>
      <c r="C3" s="50" t="s">
        <v>389</v>
      </c>
      <c r="D3" s="50" t="s">
        <v>390</v>
      </c>
      <c r="E3" s="51" t="s">
        <v>386</v>
      </c>
      <c r="F3" s="51"/>
      <c r="G3" s="52">
        <v>46083</v>
      </c>
      <c r="H3" s="51" t="s">
        <v>387</v>
      </c>
      <c r="I3" s="52">
        <v>45845</v>
      </c>
      <c r="J3" s="51"/>
      <c r="L3" s="53"/>
      <c r="M3" s="48"/>
      <c r="N3" s="48"/>
      <c r="O3" s="48"/>
    </row>
    <row r="4" spans="1:15" ht="22.5" customHeight="1">
      <c r="A4" s="49">
        <v>3</v>
      </c>
      <c r="B4" s="50" t="s">
        <v>388</v>
      </c>
      <c r="C4" s="50" t="s">
        <v>44</v>
      </c>
      <c r="D4" s="50" t="s">
        <v>391</v>
      </c>
      <c r="E4" s="51" t="s">
        <v>386</v>
      </c>
      <c r="F4" s="51"/>
      <c r="G4" s="52">
        <v>46083</v>
      </c>
      <c r="H4" s="51" t="s">
        <v>387</v>
      </c>
      <c r="I4" s="52"/>
      <c r="J4" s="51"/>
      <c r="L4" s="53"/>
      <c r="M4" s="48"/>
      <c r="N4" s="48"/>
      <c r="O4" s="48"/>
    </row>
    <row r="5" spans="1:15" ht="22.5" customHeight="1">
      <c r="A5" s="49">
        <v>4</v>
      </c>
      <c r="B5" s="50" t="s">
        <v>388</v>
      </c>
      <c r="C5" s="50" t="s">
        <v>389</v>
      </c>
      <c r="D5" s="50" t="s">
        <v>391</v>
      </c>
      <c r="E5" s="51"/>
      <c r="F5" s="51"/>
      <c r="G5" s="52">
        <v>46083</v>
      </c>
      <c r="H5" s="51" t="s">
        <v>387</v>
      </c>
      <c r="I5" s="52"/>
      <c r="J5" s="51"/>
      <c r="L5" s="53"/>
      <c r="M5" s="48"/>
      <c r="N5" s="48"/>
      <c r="O5" s="48"/>
    </row>
    <row r="6" spans="1:15" ht="22.5" customHeight="1">
      <c r="A6" s="49">
        <v>5</v>
      </c>
      <c r="B6" s="50" t="s">
        <v>388</v>
      </c>
      <c r="C6" s="50" t="s">
        <v>415</v>
      </c>
      <c r="D6" s="50" t="s">
        <v>391</v>
      </c>
      <c r="E6" s="51"/>
      <c r="F6" s="51"/>
      <c r="G6" s="52"/>
      <c r="H6" s="51"/>
      <c r="I6" s="52"/>
      <c r="J6" s="51"/>
      <c r="L6" s="53"/>
      <c r="M6" s="48"/>
      <c r="N6" s="48"/>
      <c r="O6" s="48"/>
    </row>
    <row r="7" spans="1:15" ht="22.5" customHeight="1">
      <c r="A7" s="49">
        <v>6</v>
      </c>
      <c r="B7" s="50" t="s">
        <v>403</v>
      </c>
      <c r="C7" s="50" t="s">
        <v>44</v>
      </c>
      <c r="D7" s="50" t="s">
        <v>404</v>
      </c>
      <c r="E7" s="51" t="s">
        <v>405</v>
      </c>
      <c r="F7" s="51"/>
      <c r="G7" s="52">
        <v>46084</v>
      </c>
      <c r="H7" s="51" t="s">
        <v>387</v>
      </c>
      <c r="I7" s="52"/>
      <c r="J7" s="51"/>
      <c r="L7" s="53"/>
      <c r="M7" s="48"/>
      <c r="N7" s="48"/>
      <c r="O7" s="48"/>
    </row>
    <row r="8" spans="1:15" ht="22.5" customHeight="1">
      <c r="A8" s="49">
        <v>7</v>
      </c>
      <c r="B8" s="50" t="s">
        <v>392</v>
      </c>
      <c r="C8" s="50" t="s">
        <v>44</v>
      </c>
      <c r="D8" s="50" t="s">
        <v>393</v>
      </c>
      <c r="E8" s="51" t="s">
        <v>394</v>
      </c>
      <c r="F8" s="51"/>
      <c r="G8" s="52">
        <v>46083</v>
      </c>
      <c r="H8" s="51" t="s">
        <v>387</v>
      </c>
      <c r="I8" s="52"/>
      <c r="J8" s="51"/>
      <c r="L8" s="53"/>
      <c r="M8" s="48"/>
      <c r="N8" s="48"/>
      <c r="O8" s="48"/>
    </row>
    <row r="9" spans="1:15" ht="22.5" customHeight="1">
      <c r="A9" s="49">
        <v>8</v>
      </c>
      <c r="B9" s="50" t="s">
        <v>395</v>
      </c>
      <c r="C9" s="50" t="s">
        <v>389</v>
      </c>
      <c r="D9" s="50"/>
      <c r="E9" s="51"/>
      <c r="F9" s="51"/>
      <c r="G9" s="52">
        <v>46083</v>
      </c>
      <c r="H9" s="51" t="s">
        <v>387</v>
      </c>
      <c r="I9" s="52"/>
      <c r="J9" s="51"/>
      <c r="L9" s="53"/>
      <c r="M9" s="48"/>
      <c r="N9" s="48"/>
      <c r="O9" s="48"/>
    </row>
    <row r="10" spans="1:15" ht="22.5" customHeight="1">
      <c r="A10" s="49">
        <v>9</v>
      </c>
      <c r="B10" s="50" t="s">
        <v>416</v>
      </c>
      <c r="C10" s="50" t="s">
        <v>417</v>
      </c>
      <c r="D10" s="50"/>
      <c r="E10" s="51" t="s">
        <v>418</v>
      </c>
      <c r="F10" s="51"/>
      <c r="G10" s="52"/>
      <c r="H10" s="52"/>
      <c r="I10" s="52"/>
      <c r="J10" s="51"/>
      <c r="L10" s="53"/>
      <c r="M10" s="48"/>
      <c r="N10" s="48"/>
      <c r="O10" s="48"/>
    </row>
    <row r="11" spans="1:15" ht="22.5" customHeight="1">
      <c r="A11" s="50">
        <v>10</v>
      </c>
      <c r="B11" s="50" t="s">
        <v>395</v>
      </c>
      <c r="C11" s="50" t="s">
        <v>44</v>
      </c>
      <c r="D11" s="50"/>
      <c r="E11" s="51"/>
      <c r="F11" s="51"/>
      <c r="G11" s="52">
        <v>46083</v>
      </c>
      <c r="H11" s="51" t="s">
        <v>387</v>
      </c>
      <c r="I11" s="52"/>
      <c r="J11" s="51"/>
      <c r="L11" s="48"/>
      <c r="M11" s="48"/>
      <c r="N11" s="48"/>
      <c r="O11" s="48"/>
    </row>
    <row r="12" spans="1:15" ht="22.5" customHeight="1">
      <c r="A12" s="50">
        <v>11</v>
      </c>
      <c r="B12" s="50" t="s">
        <v>419</v>
      </c>
      <c r="C12" s="50" t="s">
        <v>420</v>
      </c>
      <c r="D12" s="50" t="s">
        <v>421</v>
      </c>
      <c r="E12" s="51" t="s">
        <v>419</v>
      </c>
      <c r="F12" s="51"/>
      <c r="G12" s="52"/>
      <c r="H12" s="52"/>
      <c r="I12" s="52"/>
      <c r="J12" s="51"/>
      <c r="L12" s="48"/>
      <c r="M12" s="48"/>
      <c r="N12" s="48"/>
      <c r="O12" s="48"/>
    </row>
    <row r="13" spans="1:15" ht="22.5" customHeight="1">
      <c r="A13" s="50">
        <v>12</v>
      </c>
      <c r="B13" s="50" t="s">
        <v>419</v>
      </c>
      <c r="C13" s="50" t="s">
        <v>415</v>
      </c>
      <c r="D13" s="50"/>
      <c r="E13" s="51" t="s">
        <v>419</v>
      </c>
      <c r="F13" s="51"/>
      <c r="G13" s="52"/>
      <c r="H13" s="52"/>
      <c r="I13" s="52"/>
      <c r="J13" s="51" t="s">
        <v>422</v>
      </c>
      <c r="L13" s="48"/>
      <c r="M13" s="48"/>
      <c r="N13" s="48"/>
      <c r="O13" s="48"/>
    </row>
    <row r="14" spans="1:15" ht="22.5" customHeight="1">
      <c r="A14" s="50">
        <v>13</v>
      </c>
      <c r="B14" s="50" t="s">
        <v>406</v>
      </c>
      <c r="C14" s="50" t="s">
        <v>417</v>
      </c>
      <c r="D14" s="50"/>
      <c r="E14" s="51" t="s">
        <v>406</v>
      </c>
      <c r="F14" s="51"/>
      <c r="G14" s="52"/>
      <c r="H14" s="52"/>
      <c r="I14" s="52"/>
      <c r="J14" s="51"/>
      <c r="L14" s="48"/>
      <c r="M14" s="48"/>
      <c r="N14" s="48"/>
      <c r="O14" s="48"/>
    </row>
    <row r="15" spans="1:15" ht="22.5" customHeight="1">
      <c r="A15" s="50">
        <v>14</v>
      </c>
      <c r="B15" s="50" t="s">
        <v>406</v>
      </c>
      <c r="C15" s="50" t="s">
        <v>407</v>
      </c>
      <c r="D15" s="50" t="s">
        <v>408</v>
      </c>
      <c r="E15" s="51"/>
      <c r="F15" s="51"/>
      <c r="G15" s="52">
        <v>46084</v>
      </c>
      <c r="H15" s="51" t="s">
        <v>387</v>
      </c>
      <c r="I15" s="52">
        <v>45845</v>
      </c>
      <c r="J15" s="51"/>
      <c r="L15" s="48"/>
      <c r="M15" s="48"/>
      <c r="N15" s="48"/>
      <c r="O15" s="48"/>
    </row>
    <row r="16" spans="1:15" ht="22.5" customHeight="1">
      <c r="A16" s="50">
        <v>15</v>
      </c>
      <c r="B16" s="50" t="s">
        <v>406</v>
      </c>
      <c r="C16" s="50" t="s">
        <v>44</v>
      </c>
      <c r="D16" s="50" t="s">
        <v>409</v>
      </c>
      <c r="E16" s="51"/>
      <c r="F16" s="51"/>
      <c r="G16" s="52">
        <v>46084</v>
      </c>
      <c r="H16" s="51" t="s">
        <v>387</v>
      </c>
      <c r="I16" s="52">
        <v>45845</v>
      </c>
      <c r="J16" s="51"/>
      <c r="L16" s="48"/>
      <c r="M16" s="48"/>
      <c r="N16" s="48"/>
      <c r="O16" s="48"/>
    </row>
    <row r="17" spans="1:15" ht="22.5" customHeight="1">
      <c r="A17" s="50">
        <v>16</v>
      </c>
      <c r="B17" s="50" t="s">
        <v>396</v>
      </c>
      <c r="C17" s="50" t="s">
        <v>44</v>
      </c>
      <c r="D17" s="50" t="s">
        <v>397</v>
      </c>
      <c r="E17" s="51"/>
      <c r="F17" s="51"/>
      <c r="G17" s="52">
        <v>46083</v>
      </c>
      <c r="H17" s="51" t="s">
        <v>387</v>
      </c>
      <c r="I17" s="52"/>
      <c r="J17" s="51"/>
      <c r="L17" s="48"/>
      <c r="M17" s="48"/>
      <c r="N17" s="48"/>
      <c r="O17" s="48"/>
    </row>
    <row r="18" spans="1:15" ht="22.5" customHeight="1">
      <c r="A18" s="50">
        <v>26</v>
      </c>
      <c r="B18" s="50" t="s">
        <v>398</v>
      </c>
      <c r="C18" s="50" t="s">
        <v>389</v>
      </c>
      <c r="D18" s="50" t="s">
        <v>397</v>
      </c>
      <c r="E18" s="51"/>
      <c r="F18" s="51"/>
      <c r="G18" s="99">
        <v>46083</v>
      </c>
      <c r="H18" s="101" t="s">
        <v>387</v>
      </c>
      <c r="I18" s="52"/>
      <c r="J18" s="51"/>
      <c r="L18" s="48"/>
      <c r="M18" s="48"/>
      <c r="N18" s="48"/>
      <c r="O18" s="48"/>
    </row>
    <row r="19" spans="1:15" ht="22.5" customHeight="1">
      <c r="A19" s="50">
        <v>17</v>
      </c>
      <c r="B19" s="50" t="s">
        <v>410</v>
      </c>
      <c r="C19" s="50" t="s">
        <v>44</v>
      </c>
      <c r="D19" s="50" t="s">
        <v>397</v>
      </c>
      <c r="E19" s="51"/>
      <c r="F19" s="51"/>
      <c r="G19" s="52">
        <v>46084</v>
      </c>
      <c r="H19" s="51" t="s">
        <v>387</v>
      </c>
      <c r="I19" s="52"/>
      <c r="J19" s="51"/>
      <c r="L19" s="48"/>
      <c r="M19" s="48"/>
      <c r="N19" s="48"/>
      <c r="O19" s="48"/>
    </row>
    <row r="20" spans="1:15" ht="22.5" customHeight="1">
      <c r="A20" s="50">
        <v>18</v>
      </c>
      <c r="B20" s="50" t="s">
        <v>410</v>
      </c>
      <c r="C20" s="50" t="s">
        <v>44</v>
      </c>
      <c r="D20" s="50" t="s">
        <v>397</v>
      </c>
      <c r="E20" s="51"/>
      <c r="F20" s="51"/>
      <c r="G20" s="98">
        <v>46084</v>
      </c>
      <c r="H20" s="100" t="s">
        <v>387</v>
      </c>
      <c r="I20" s="52"/>
      <c r="J20" s="51"/>
      <c r="L20" s="48"/>
      <c r="M20" s="48"/>
      <c r="N20" s="48"/>
      <c r="O20" s="48"/>
    </row>
    <row r="21" spans="1:15" ht="22.5" customHeight="1">
      <c r="A21" s="50">
        <v>19</v>
      </c>
      <c r="B21" s="50" t="s">
        <v>423</v>
      </c>
      <c r="C21" s="50" t="s">
        <v>415</v>
      </c>
      <c r="D21" s="50" t="s">
        <v>397</v>
      </c>
      <c r="E21" s="51"/>
      <c r="F21" s="51"/>
      <c r="G21" s="52"/>
      <c r="H21" s="52"/>
      <c r="I21" s="52"/>
      <c r="J21" s="51"/>
      <c r="L21" s="48"/>
      <c r="M21" s="48"/>
      <c r="N21" s="48"/>
      <c r="O21" s="48"/>
    </row>
    <row r="22" spans="1:15" ht="22.5" customHeight="1">
      <c r="A22" s="50">
        <v>20</v>
      </c>
      <c r="B22" s="50" t="s">
        <v>399</v>
      </c>
      <c r="C22" s="50" t="s">
        <v>44</v>
      </c>
      <c r="D22" s="50"/>
      <c r="E22" s="51"/>
      <c r="F22" s="51"/>
      <c r="G22" s="52">
        <v>46083</v>
      </c>
      <c r="H22" s="51" t="s">
        <v>387</v>
      </c>
      <c r="I22" s="52"/>
      <c r="J22" s="51"/>
      <c r="L22" s="48"/>
      <c r="M22" s="48"/>
      <c r="N22" s="48"/>
      <c r="O22" s="48"/>
    </row>
    <row r="23" spans="1:15" ht="22.5" customHeight="1">
      <c r="A23" s="50">
        <v>21</v>
      </c>
      <c r="B23" s="50" t="s">
        <v>411</v>
      </c>
      <c r="C23" s="50" t="s">
        <v>44</v>
      </c>
      <c r="D23" s="50" t="s">
        <v>412</v>
      </c>
      <c r="E23" s="51"/>
      <c r="F23" s="51"/>
      <c r="G23" s="52">
        <v>46084</v>
      </c>
      <c r="H23" s="51" t="s">
        <v>387</v>
      </c>
      <c r="I23" s="52"/>
      <c r="J23" s="51"/>
      <c r="L23" s="48"/>
      <c r="M23" s="48"/>
      <c r="N23" s="48"/>
      <c r="O23" s="48"/>
    </row>
    <row r="24" spans="1:15" ht="22.5" customHeight="1">
      <c r="A24" s="50">
        <v>22</v>
      </c>
      <c r="B24" s="50" t="s">
        <v>413</v>
      </c>
      <c r="C24" s="50" t="s">
        <v>44</v>
      </c>
      <c r="D24" s="50" t="s">
        <v>414</v>
      </c>
      <c r="E24" s="51"/>
      <c r="F24" s="51"/>
      <c r="G24" s="52">
        <v>46084</v>
      </c>
      <c r="H24" s="51" t="s">
        <v>387</v>
      </c>
      <c r="I24" s="52"/>
      <c r="J24" s="51"/>
      <c r="L24" s="48"/>
      <c r="M24" s="48"/>
      <c r="N24" s="48"/>
      <c r="O24" s="48"/>
    </row>
    <row r="25" spans="1:15" ht="22.5" customHeight="1">
      <c r="A25" s="50">
        <v>23</v>
      </c>
      <c r="B25" s="50" t="s">
        <v>413</v>
      </c>
      <c r="C25" s="50" t="s">
        <v>420</v>
      </c>
      <c r="D25" s="50" t="s">
        <v>414</v>
      </c>
      <c r="E25" s="51"/>
      <c r="F25" s="51"/>
      <c r="G25" s="52"/>
      <c r="H25" s="52"/>
      <c r="I25" s="52"/>
      <c r="J25" s="51"/>
      <c r="L25" s="48"/>
      <c r="M25" s="48"/>
      <c r="N25" s="48"/>
      <c r="O25" s="48"/>
    </row>
    <row r="26" spans="1:15" ht="22.5" customHeight="1">
      <c r="A26" s="50">
        <v>24</v>
      </c>
      <c r="B26" s="50" t="s">
        <v>400</v>
      </c>
      <c r="C26" s="50" t="s">
        <v>44</v>
      </c>
      <c r="D26" s="50" t="s">
        <v>401</v>
      </c>
      <c r="E26" s="51"/>
      <c r="F26" s="51"/>
      <c r="G26" s="52">
        <v>46083</v>
      </c>
      <c r="H26" s="51" t="s">
        <v>387</v>
      </c>
      <c r="I26" s="52"/>
      <c r="J26" s="51"/>
      <c r="L26" s="48"/>
      <c r="M26" s="48"/>
      <c r="N26" s="48"/>
      <c r="O26" s="48"/>
    </row>
    <row r="27" spans="1:15" ht="22.5" customHeight="1">
      <c r="A27" s="50">
        <v>25</v>
      </c>
      <c r="B27" s="50" t="s">
        <v>402</v>
      </c>
      <c r="C27" s="50" t="s">
        <v>44</v>
      </c>
      <c r="D27" s="50" t="s">
        <v>401</v>
      </c>
      <c r="E27" s="51"/>
      <c r="F27" s="51"/>
      <c r="G27" s="52">
        <v>46083</v>
      </c>
      <c r="H27" s="51" t="s">
        <v>387</v>
      </c>
      <c r="I27" s="52"/>
      <c r="J27" s="51"/>
    </row>
    <row r="28" spans="1:15" ht="13">
      <c r="G28" s="54"/>
      <c r="H28" s="54"/>
      <c r="I28" s="54"/>
    </row>
    <row r="29" spans="1:15" ht="13">
      <c r="G29" s="54"/>
      <c r="H29" s="54"/>
      <c r="I29" s="54"/>
    </row>
    <row r="30" spans="1:15" ht="13">
      <c r="G30" s="54"/>
      <c r="H30" s="54"/>
      <c r="I30" s="54"/>
    </row>
    <row r="31" spans="1:15" ht="13">
      <c r="G31" s="54"/>
      <c r="H31" s="54"/>
      <c r="I31" s="54"/>
    </row>
    <row r="32" spans="1:15" ht="13">
      <c r="G32" s="54"/>
      <c r="H32" s="54"/>
      <c r="I32" s="54"/>
    </row>
    <row r="33" spans="7:9" ht="13">
      <c r="G33" s="54"/>
      <c r="H33" s="54"/>
      <c r="I33" s="54"/>
    </row>
    <row r="34" spans="7:9" ht="13">
      <c r="G34" s="54"/>
      <c r="H34" s="54"/>
      <c r="I34" s="54"/>
    </row>
    <row r="35" spans="7:9" ht="13">
      <c r="G35" s="54"/>
      <c r="H35" s="54"/>
      <c r="I35" s="54"/>
    </row>
    <row r="36" spans="7:9" ht="13">
      <c r="G36" s="54"/>
      <c r="H36" s="54"/>
      <c r="I36" s="54"/>
    </row>
    <row r="37" spans="7:9" ht="13">
      <c r="G37" s="54"/>
      <c r="H37" s="54"/>
      <c r="I37" s="54"/>
    </row>
    <row r="38" spans="7:9" ht="13">
      <c r="G38" s="54"/>
      <c r="H38" s="54"/>
      <c r="I38" s="54"/>
    </row>
    <row r="39" spans="7:9" ht="13">
      <c r="G39" s="54"/>
      <c r="H39" s="54"/>
      <c r="I39" s="54"/>
    </row>
    <row r="40" spans="7:9" ht="13">
      <c r="G40" s="54"/>
      <c r="H40" s="54"/>
      <c r="I40" s="54"/>
    </row>
    <row r="41" spans="7:9" ht="13">
      <c r="G41" s="54"/>
      <c r="H41" s="54"/>
      <c r="I41" s="54"/>
    </row>
    <row r="42" spans="7:9" ht="13">
      <c r="G42" s="54"/>
      <c r="H42" s="54"/>
      <c r="I42" s="54"/>
    </row>
    <row r="43" spans="7:9" ht="13">
      <c r="G43" s="54"/>
      <c r="H43" s="54"/>
      <c r="I43" s="54"/>
    </row>
    <row r="44" spans="7:9" ht="13">
      <c r="G44" s="54"/>
      <c r="H44" s="54"/>
      <c r="I44" s="54"/>
    </row>
    <row r="45" spans="7:9" ht="13">
      <c r="G45" s="54"/>
      <c r="H45" s="54"/>
      <c r="I45" s="54"/>
    </row>
    <row r="46" spans="7:9" ht="13">
      <c r="G46" s="54"/>
      <c r="H46" s="54"/>
      <c r="I46" s="54"/>
    </row>
    <row r="47" spans="7:9" ht="13">
      <c r="G47" s="54"/>
      <c r="H47" s="54"/>
      <c r="I47" s="54"/>
    </row>
    <row r="48" spans="7:9" ht="13">
      <c r="G48" s="54"/>
      <c r="H48" s="54"/>
      <c r="I48" s="54"/>
    </row>
    <row r="49" spans="7:9" ht="13">
      <c r="G49" s="54"/>
      <c r="H49" s="54"/>
      <c r="I49" s="54"/>
    </row>
    <row r="50" spans="7:9" ht="13">
      <c r="G50" s="54"/>
      <c r="H50" s="54"/>
      <c r="I50" s="54"/>
    </row>
    <row r="51" spans="7:9" ht="13">
      <c r="G51" s="54"/>
      <c r="H51" s="54"/>
      <c r="I51" s="54"/>
    </row>
    <row r="52" spans="7:9" ht="13">
      <c r="G52" s="54"/>
      <c r="H52" s="54"/>
      <c r="I52" s="54"/>
    </row>
    <row r="53" spans="7:9" ht="13">
      <c r="G53" s="54"/>
      <c r="H53" s="54"/>
      <c r="I53" s="54"/>
    </row>
    <row r="54" spans="7:9" ht="13">
      <c r="G54" s="54"/>
      <c r="H54" s="54"/>
      <c r="I54" s="54"/>
    </row>
    <row r="55" spans="7:9" ht="13">
      <c r="G55" s="54"/>
      <c r="H55" s="54"/>
      <c r="I55" s="54"/>
    </row>
    <row r="56" spans="7:9" ht="13">
      <c r="G56" s="54"/>
      <c r="H56" s="54"/>
      <c r="I56" s="54"/>
    </row>
    <row r="57" spans="7:9" ht="13">
      <c r="G57" s="54"/>
      <c r="H57" s="54"/>
      <c r="I57" s="54"/>
    </row>
    <row r="58" spans="7:9" ht="13">
      <c r="G58" s="54"/>
      <c r="H58" s="54"/>
      <c r="I58" s="54"/>
    </row>
    <row r="59" spans="7:9" ht="13">
      <c r="G59" s="54"/>
      <c r="H59" s="54"/>
      <c r="I59" s="54"/>
    </row>
    <row r="60" spans="7:9" ht="13">
      <c r="G60" s="54"/>
      <c r="H60" s="54"/>
      <c r="I60" s="54"/>
    </row>
    <row r="61" spans="7:9" ht="13">
      <c r="G61" s="54"/>
      <c r="H61" s="54"/>
      <c r="I61" s="54"/>
    </row>
    <row r="62" spans="7:9" ht="13">
      <c r="G62" s="54"/>
      <c r="H62" s="54"/>
      <c r="I62" s="54"/>
    </row>
    <row r="63" spans="7:9" ht="13">
      <c r="G63" s="54"/>
      <c r="H63" s="54"/>
      <c r="I63" s="54"/>
    </row>
    <row r="64" spans="7:9" ht="13">
      <c r="G64" s="54"/>
      <c r="H64" s="54"/>
      <c r="I64" s="54"/>
    </row>
    <row r="65" spans="7:9" ht="13">
      <c r="G65" s="54"/>
      <c r="H65" s="54"/>
      <c r="I65" s="54"/>
    </row>
    <row r="66" spans="7:9" ht="13">
      <c r="G66" s="54"/>
      <c r="H66" s="54"/>
      <c r="I66" s="54"/>
    </row>
    <row r="67" spans="7:9" ht="13">
      <c r="G67" s="54"/>
      <c r="H67" s="54"/>
      <c r="I67" s="54"/>
    </row>
    <row r="68" spans="7:9" ht="13">
      <c r="G68" s="54"/>
      <c r="H68" s="54"/>
      <c r="I68" s="54"/>
    </row>
    <row r="69" spans="7:9" ht="13">
      <c r="G69" s="54"/>
      <c r="H69" s="54"/>
      <c r="I69" s="54"/>
    </row>
    <row r="70" spans="7:9" ht="13">
      <c r="G70" s="54"/>
      <c r="H70" s="54"/>
      <c r="I70" s="54"/>
    </row>
    <row r="71" spans="7:9" ht="13">
      <c r="G71" s="54"/>
      <c r="H71" s="54"/>
      <c r="I71" s="54"/>
    </row>
    <row r="72" spans="7:9" ht="13">
      <c r="G72" s="54"/>
      <c r="H72" s="54"/>
      <c r="I72" s="54"/>
    </row>
    <row r="73" spans="7:9" ht="13">
      <c r="G73" s="54"/>
      <c r="H73" s="54"/>
      <c r="I73" s="54"/>
    </row>
    <row r="74" spans="7:9" ht="13">
      <c r="G74" s="54"/>
      <c r="H74" s="54"/>
      <c r="I74" s="54"/>
    </row>
    <row r="75" spans="7:9" ht="13">
      <c r="G75" s="54"/>
      <c r="H75" s="54"/>
      <c r="I75" s="54"/>
    </row>
    <row r="76" spans="7:9" ht="13">
      <c r="G76" s="54"/>
      <c r="H76" s="54"/>
      <c r="I76" s="54"/>
    </row>
    <row r="77" spans="7:9" ht="13">
      <c r="G77" s="54"/>
      <c r="H77" s="54"/>
      <c r="I77" s="54"/>
    </row>
    <row r="78" spans="7:9" ht="13">
      <c r="G78" s="54"/>
      <c r="H78" s="54"/>
      <c r="I78" s="54"/>
    </row>
    <row r="79" spans="7:9" ht="13">
      <c r="G79" s="54"/>
      <c r="H79" s="54"/>
      <c r="I79" s="54"/>
    </row>
    <row r="80" spans="7:9" ht="13">
      <c r="G80" s="54"/>
      <c r="H80" s="54"/>
      <c r="I80" s="54"/>
    </row>
    <row r="81" spans="7:9" ht="13">
      <c r="G81" s="54"/>
      <c r="H81" s="54"/>
      <c r="I81" s="54"/>
    </row>
    <row r="82" spans="7:9" ht="13">
      <c r="G82" s="54"/>
      <c r="H82" s="54"/>
      <c r="I82" s="54"/>
    </row>
    <row r="83" spans="7:9" ht="13">
      <c r="G83" s="54"/>
      <c r="H83" s="54"/>
      <c r="I83" s="54"/>
    </row>
    <row r="84" spans="7:9" ht="13">
      <c r="G84" s="54"/>
      <c r="H84" s="54"/>
      <c r="I84" s="54"/>
    </row>
    <row r="85" spans="7:9" ht="13">
      <c r="G85" s="54"/>
      <c r="H85" s="54"/>
      <c r="I85" s="54"/>
    </row>
    <row r="86" spans="7:9" ht="13">
      <c r="G86" s="54"/>
      <c r="H86" s="54"/>
      <c r="I86" s="54"/>
    </row>
    <row r="87" spans="7:9" ht="13">
      <c r="G87" s="54"/>
      <c r="H87" s="54"/>
      <c r="I87" s="54"/>
    </row>
    <row r="88" spans="7:9" ht="13">
      <c r="G88" s="54"/>
      <c r="H88" s="54"/>
      <c r="I88" s="54"/>
    </row>
    <row r="89" spans="7:9" ht="13">
      <c r="G89" s="54"/>
      <c r="H89" s="54"/>
      <c r="I89" s="54"/>
    </row>
    <row r="90" spans="7:9" ht="13">
      <c r="G90" s="54"/>
      <c r="H90" s="54"/>
      <c r="I90" s="54"/>
    </row>
    <row r="91" spans="7:9" ht="13">
      <c r="G91" s="54"/>
      <c r="H91" s="54"/>
      <c r="I91" s="54"/>
    </row>
    <row r="92" spans="7:9" ht="13">
      <c r="G92" s="54"/>
      <c r="H92" s="54"/>
      <c r="I92" s="54"/>
    </row>
    <row r="93" spans="7:9" ht="13">
      <c r="G93" s="54"/>
      <c r="H93" s="54"/>
      <c r="I93" s="54"/>
    </row>
    <row r="94" spans="7:9" ht="13">
      <c r="G94" s="54"/>
      <c r="H94" s="54"/>
      <c r="I94" s="54"/>
    </row>
    <row r="95" spans="7:9" ht="13">
      <c r="G95" s="54"/>
      <c r="H95" s="54"/>
      <c r="I95" s="54"/>
    </row>
    <row r="96" spans="7:9" ht="13">
      <c r="G96" s="54"/>
      <c r="H96" s="54"/>
      <c r="I96" s="54"/>
    </row>
    <row r="97" spans="7:9" ht="13">
      <c r="G97" s="54"/>
      <c r="H97" s="54"/>
      <c r="I97" s="54"/>
    </row>
    <row r="98" spans="7:9" ht="13">
      <c r="G98" s="54"/>
      <c r="H98" s="54"/>
      <c r="I98" s="54"/>
    </row>
    <row r="99" spans="7:9" ht="13">
      <c r="G99" s="54"/>
      <c r="H99" s="54"/>
      <c r="I99" s="54"/>
    </row>
    <row r="100" spans="7:9" ht="13">
      <c r="G100" s="54"/>
      <c r="H100" s="54"/>
      <c r="I100" s="54"/>
    </row>
    <row r="101" spans="7:9" ht="13">
      <c r="G101" s="54"/>
      <c r="H101" s="54"/>
      <c r="I101" s="54"/>
    </row>
    <row r="102" spans="7:9" ht="13">
      <c r="G102" s="54"/>
      <c r="H102" s="54"/>
      <c r="I102" s="54"/>
    </row>
    <row r="103" spans="7:9" ht="13">
      <c r="G103" s="54"/>
      <c r="H103" s="54"/>
      <c r="I103" s="54"/>
    </row>
    <row r="104" spans="7:9" ht="13">
      <c r="G104" s="54"/>
      <c r="H104" s="54"/>
      <c r="I104" s="54"/>
    </row>
    <row r="105" spans="7:9" ht="13">
      <c r="G105" s="54"/>
      <c r="H105" s="54"/>
      <c r="I105" s="54"/>
    </row>
    <row r="106" spans="7:9" ht="13">
      <c r="G106" s="54"/>
      <c r="H106" s="54"/>
      <c r="I106" s="54"/>
    </row>
    <row r="107" spans="7:9" ht="13">
      <c r="G107" s="54"/>
      <c r="H107" s="54"/>
      <c r="I107" s="54"/>
    </row>
    <row r="108" spans="7:9" ht="13">
      <c r="G108" s="54"/>
      <c r="H108" s="54"/>
      <c r="I108" s="54"/>
    </row>
    <row r="109" spans="7:9" ht="13">
      <c r="G109" s="54"/>
      <c r="H109" s="54"/>
      <c r="I109" s="54"/>
    </row>
    <row r="110" spans="7:9" ht="13">
      <c r="G110" s="54"/>
      <c r="H110" s="54"/>
      <c r="I110" s="54"/>
    </row>
    <row r="111" spans="7:9" ht="13">
      <c r="G111" s="54"/>
      <c r="H111" s="54"/>
      <c r="I111" s="54"/>
    </row>
    <row r="112" spans="7:9" ht="13">
      <c r="G112" s="54"/>
      <c r="H112" s="54"/>
      <c r="I112" s="54"/>
    </row>
    <row r="113" spans="7:9" ht="13">
      <c r="G113" s="54"/>
      <c r="H113" s="54"/>
      <c r="I113" s="54"/>
    </row>
    <row r="114" spans="7:9" ht="13">
      <c r="G114" s="54"/>
      <c r="H114" s="54"/>
      <c r="I114" s="54"/>
    </row>
    <row r="115" spans="7:9" ht="13">
      <c r="G115" s="54"/>
      <c r="H115" s="54"/>
      <c r="I115" s="54"/>
    </row>
    <row r="116" spans="7:9" ht="13">
      <c r="G116" s="54"/>
      <c r="H116" s="54"/>
      <c r="I116" s="54"/>
    </row>
    <row r="117" spans="7:9" ht="13">
      <c r="G117" s="54"/>
      <c r="H117" s="54"/>
      <c r="I117" s="54"/>
    </row>
    <row r="118" spans="7:9" ht="13">
      <c r="G118" s="54"/>
      <c r="H118" s="54"/>
      <c r="I118" s="54"/>
    </row>
    <row r="119" spans="7:9" ht="13">
      <c r="G119" s="54"/>
      <c r="H119" s="54"/>
      <c r="I119" s="54"/>
    </row>
    <row r="120" spans="7:9" ht="13">
      <c r="G120" s="54"/>
      <c r="H120" s="54"/>
      <c r="I120" s="54"/>
    </row>
    <row r="121" spans="7:9" ht="13">
      <c r="G121" s="54"/>
      <c r="H121" s="54"/>
      <c r="I121" s="54"/>
    </row>
    <row r="122" spans="7:9" ht="13">
      <c r="G122" s="54"/>
      <c r="H122" s="54"/>
      <c r="I122" s="54"/>
    </row>
    <row r="123" spans="7:9" ht="13">
      <c r="G123" s="54"/>
      <c r="H123" s="54"/>
      <c r="I123" s="54"/>
    </row>
    <row r="124" spans="7:9" ht="13">
      <c r="G124" s="54"/>
      <c r="H124" s="54"/>
      <c r="I124" s="54"/>
    </row>
    <row r="125" spans="7:9" ht="13">
      <c r="G125" s="54"/>
      <c r="H125" s="54"/>
      <c r="I125" s="54"/>
    </row>
    <row r="126" spans="7:9" ht="13">
      <c r="G126" s="54"/>
      <c r="H126" s="54"/>
      <c r="I126" s="54"/>
    </row>
    <row r="127" spans="7:9" ht="13">
      <c r="G127" s="54"/>
      <c r="H127" s="54"/>
      <c r="I127" s="54"/>
    </row>
    <row r="128" spans="7:9" ht="13">
      <c r="G128" s="54"/>
      <c r="H128" s="54"/>
      <c r="I128" s="54"/>
    </row>
    <row r="129" spans="7:9" ht="13">
      <c r="G129" s="54"/>
      <c r="H129" s="54"/>
      <c r="I129" s="54"/>
    </row>
    <row r="130" spans="7:9" ht="13">
      <c r="G130" s="54"/>
      <c r="H130" s="54"/>
      <c r="I130" s="54"/>
    </row>
    <row r="131" spans="7:9" ht="13">
      <c r="G131" s="54"/>
      <c r="H131" s="54"/>
      <c r="I131" s="54"/>
    </row>
    <row r="132" spans="7:9" ht="13">
      <c r="G132" s="54"/>
      <c r="H132" s="54"/>
      <c r="I132" s="54"/>
    </row>
    <row r="133" spans="7:9" ht="13">
      <c r="G133" s="54"/>
      <c r="H133" s="54"/>
      <c r="I133" s="54"/>
    </row>
    <row r="134" spans="7:9" ht="13">
      <c r="G134" s="54"/>
      <c r="H134" s="54"/>
      <c r="I134" s="54"/>
    </row>
    <row r="135" spans="7:9" ht="13">
      <c r="G135" s="54"/>
      <c r="H135" s="54"/>
      <c r="I135" s="54"/>
    </row>
    <row r="136" spans="7:9" ht="13">
      <c r="G136" s="54"/>
      <c r="H136" s="54"/>
      <c r="I136" s="54"/>
    </row>
    <row r="137" spans="7:9" ht="13">
      <c r="G137" s="54"/>
      <c r="H137" s="54"/>
      <c r="I137" s="54"/>
    </row>
    <row r="138" spans="7:9" ht="13">
      <c r="G138" s="54"/>
      <c r="H138" s="54"/>
      <c r="I138" s="54"/>
    </row>
    <row r="139" spans="7:9" ht="13">
      <c r="G139" s="54"/>
      <c r="H139" s="54"/>
      <c r="I139" s="54"/>
    </row>
    <row r="140" spans="7:9" ht="13">
      <c r="G140" s="54"/>
      <c r="H140" s="54"/>
      <c r="I140" s="54"/>
    </row>
    <row r="141" spans="7:9" ht="13">
      <c r="G141" s="54"/>
      <c r="H141" s="54"/>
      <c r="I141" s="54"/>
    </row>
    <row r="142" spans="7:9" ht="13">
      <c r="G142" s="54"/>
      <c r="H142" s="54"/>
      <c r="I142" s="54"/>
    </row>
    <row r="143" spans="7:9" ht="13">
      <c r="G143" s="54"/>
      <c r="H143" s="54"/>
      <c r="I143" s="54"/>
    </row>
    <row r="144" spans="7:9" ht="13">
      <c r="G144" s="54"/>
      <c r="H144" s="54"/>
      <c r="I144" s="54"/>
    </row>
    <row r="145" spans="7:9" ht="13">
      <c r="G145" s="54"/>
      <c r="H145" s="54"/>
      <c r="I145" s="54"/>
    </row>
    <row r="146" spans="7:9" ht="13">
      <c r="G146" s="54"/>
      <c r="H146" s="54"/>
      <c r="I146" s="54"/>
    </row>
    <row r="147" spans="7:9" ht="13">
      <c r="G147" s="54"/>
      <c r="H147" s="54"/>
      <c r="I147" s="54"/>
    </row>
    <row r="148" spans="7:9" ht="13">
      <c r="G148" s="54"/>
      <c r="H148" s="54"/>
      <c r="I148" s="54"/>
    </row>
    <row r="149" spans="7:9" ht="13">
      <c r="G149" s="54"/>
      <c r="H149" s="54"/>
      <c r="I149" s="54"/>
    </row>
    <row r="150" spans="7:9" ht="13">
      <c r="G150" s="54"/>
      <c r="H150" s="54"/>
      <c r="I150" s="54"/>
    </row>
    <row r="151" spans="7:9" ht="13">
      <c r="G151" s="54"/>
      <c r="H151" s="54"/>
      <c r="I151" s="54"/>
    </row>
    <row r="152" spans="7:9" ht="13">
      <c r="G152" s="54"/>
      <c r="H152" s="54"/>
      <c r="I152" s="54"/>
    </row>
    <row r="153" spans="7:9" ht="13">
      <c r="G153" s="54"/>
      <c r="H153" s="54"/>
      <c r="I153" s="54"/>
    </row>
    <row r="154" spans="7:9" ht="13">
      <c r="G154" s="54"/>
      <c r="H154" s="54"/>
      <c r="I154" s="54"/>
    </row>
    <row r="155" spans="7:9" ht="13">
      <c r="G155" s="54"/>
      <c r="H155" s="54"/>
      <c r="I155" s="54"/>
    </row>
    <row r="156" spans="7:9" ht="13">
      <c r="G156" s="54"/>
      <c r="H156" s="54"/>
      <c r="I156" s="54"/>
    </row>
    <row r="157" spans="7:9" ht="13">
      <c r="G157" s="54"/>
      <c r="H157" s="54"/>
      <c r="I157" s="54"/>
    </row>
    <row r="158" spans="7:9" ht="13">
      <c r="G158" s="54"/>
      <c r="H158" s="54"/>
      <c r="I158" s="54"/>
    </row>
    <row r="159" spans="7:9" ht="13">
      <c r="G159" s="54"/>
      <c r="H159" s="54"/>
      <c r="I159" s="54"/>
    </row>
    <row r="160" spans="7:9" ht="13">
      <c r="G160" s="54"/>
      <c r="H160" s="54"/>
      <c r="I160" s="54"/>
    </row>
    <row r="161" spans="7:9" ht="13">
      <c r="G161" s="54"/>
      <c r="H161" s="54"/>
      <c r="I161" s="54"/>
    </row>
    <row r="162" spans="7:9" ht="13">
      <c r="G162" s="54"/>
      <c r="H162" s="54"/>
      <c r="I162" s="54"/>
    </row>
    <row r="163" spans="7:9" ht="13">
      <c r="G163" s="54"/>
      <c r="H163" s="54"/>
      <c r="I163" s="54"/>
    </row>
    <row r="164" spans="7:9" ht="13">
      <c r="G164" s="54"/>
      <c r="H164" s="54"/>
      <c r="I164" s="54"/>
    </row>
    <row r="165" spans="7:9" ht="13">
      <c r="G165" s="54"/>
      <c r="H165" s="54"/>
      <c r="I165" s="54"/>
    </row>
    <row r="166" spans="7:9" ht="13">
      <c r="G166" s="54"/>
      <c r="H166" s="54"/>
      <c r="I166" s="54"/>
    </row>
    <row r="167" spans="7:9" ht="13">
      <c r="G167" s="54"/>
      <c r="H167" s="54"/>
      <c r="I167" s="54"/>
    </row>
    <row r="168" spans="7:9" ht="13">
      <c r="G168" s="54"/>
      <c r="H168" s="54"/>
      <c r="I168" s="54"/>
    </row>
    <row r="169" spans="7:9" ht="13">
      <c r="G169" s="54"/>
      <c r="H169" s="54"/>
      <c r="I169" s="54"/>
    </row>
    <row r="170" spans="7:9" ht="13">
      <c r="G170" s="54"/>
      <c r="H170" s="54"/>
      <c r="I170" s="54"/>
    </row>
    <row r="171" spans="7:9" ht="13">
      <c r="G171" s="54"/>
      <c r="H171" s="54"/>
      <c r="I171" s="54"/>
    </row>
    <row r="172" spans="7:9" ht="13">
      <c r="G172" s="54"/>
      <c r="H172" s="54"/>
      <c r="I172" s="54"/>
    </row>
    <row r="173" spans="7:9" ht="13">
      <c r="G173" s="54"/>
      <c r="H173" s="54"/>
      <c r="I173" s="54"/>
    </row>
    <row r="174" spans="7:9" ht="13">
      <c r="G174" s="54"/>
      <c r="H174" s="54"/>
      <c r="I174" s="54"/>
    </row>
    <row r="175" spans="7:9" ht="13">
      <c r="G175" s="54"/>
      <c r="H175" s="54"/>
      <c r="I175" s="54"/>
    </row>
    <row r="176" spans="7:9" ht="13">
      <c r="G176" s="54"/>
      <c r="H176" s="54"/>
      <c r="I176" s="54"/>
    </row>
    <row r="177" spans="7:9" ht="13">
      <c r="G177" s="54"/>
      <c r="H177" s="54"/>
      <c r="I177" s="54"/>
    </row>
    <row r="178" spans="7:9" ht="13">
      <c r="G178" s="54"/>
      <c r="H178" s="54"/>
      <c r="I178" s="54"/>
    </row>
    <row r="179" spans="7:9" ht="13">
      <c r="G179" s="54"/>
      <c r="H179" s="54"/>
      <c r="I179" s="54"/>
    </row>
    <row r="180" spans="7:9" ht="13">
      <c r="G180" s="54"/>
      <c r="H180" s="54"/>
      <c r="I180" s="54"/>
    </row>
    <row r="181" spans="7:9" ht="13">
      <c r="G181" s="54"/>
      <c r="H181" s="54"/>
      <c r="I181" s="54"/>
    </row>
    <row r="182" spans="7:9" ht="13">
      <c r="G182" s="54"/>
      <c r="H182" s="54"/>
      <c r="I182" s="54"/>
    </row>
    <row r="183" spans="7:9" ht="13">
      <c r="G183" s="54"/>
      <c r="H183" s="54"/>
      <c r="I183" s="54"/>
    </row>
    <row r="184" spans="7:9" ht="13">
      <c r="G184" s="54"/>
      <c r="H184" s="54"/>
      <c r="I184" s="54"/>
    </row>
    <row r="185" spans="7:9" ht="13">
      <c r="G185" s="54"/>
      <c r="H185" s="54"/>
      <c r="I185" s="54"/>
    </row>
    <row r="186" spans="7:9" ht="13">
      <c r="G186" s="54"/>
      <c r="H186" s="54"/>
      <c r="I186" s="54"/>
    </row>
    <row r="187" spans="7:9" ht="13">
      <c r="G187" s="54"/>
      <c r="H187" s="54"/>
      <c r="I187" s="54"/>
    </row>
    <row r="188" spans="7:9" ht="13">
      <c r="G188" s="54"/>
      <c r="H188" s="54"/>
      <c r="I188" s="54"/>
    </row>
    <row r="189" spans="7:9" ht="13">
      <c r="G189" s="54"/>
      <c r="H189" s="54"/>
      <c r="I189" s="54"/>
    </row>
    <row r="190" spans="7:9" ht="13">
      <c r="G190" s="54"/>
      <c r="H190" s="54"/>
      <c r="I190" s="54"/>
    </row>
    <row r="191" spans="7:9" ht="13">
      <c r="G191" s="54"/>
      <c r="H191" s="54"/>
      <c r="I191" s="54"/>
    </row>
    <row r="192" spans="7:9" ht="13">
      <c r="G192" s="54"/>
      <c r="H192" s="54"/>
      <c r="I192" s="54"/>
    </row>
    <row r="193" spans="7:9" ht="13">
      <c r="G193" s="54"/>
      <c r="H193" s="54"/>
      <c r="I193" s="54"/>
    </row>
    <row r="194" spans="7:9" ht="13">
      <c r="G194" s="54"/>
      <c r="H194" s="54"/>
      <c r="I194" s="54"/>
    </row>
    <row r="195" spans="7:9" ht="13">
      <c r="G195" s="54"/>
      <c r="H195" s="54"/>
      <c r="I195" s="54"/>
    </row>
    <row r="196" spans="7:9" ht="13">
      <c r="G196" s="54"/>
      <c r="H196" s="54"/>
      <c r="I196" s="54"/>
    </row>
    <row r="197" spans="7:9" ht="13">
      <c r="G197" s="54"/>
      <c r="H197" s="54"/>
      <c r="I197" s="54"/>
    </row>
    <row r="198" spans="7:9" ht="13">
      <c r="G198" s="54"/>
      <c r="H198" s="54"/>
      <c r="I198" s="54"/>
    </row>
    <row r="199" spans="7:9" ht="13">
      <c r="G199" s="54"/>
      <c r="H199" s="54"/>
      <c r="I199" s="54"/>
    </row>
    <row r="200" spans="7:9" ht="13">
      <c r="G200" s="54"/>
      <c r="H200" s="54"/>
      <c r="I200" s="54"/>
    </row>
    <row r="201" spans="7:9" ht="13">
      <c r="G201" s="54"/>
      <c r="H201" s="54"/>
      <c r="I201" s="54"/>
    </row>
    <row r="202" spans="7:9" ht="13">
      <c r="G202" s="54"/>
      <c r="H202" s="54"/>
      <c r="I202" s="54"/>
    </row>
    <row r="203" spans="7:9" ht="13">
      <c r="G203" s="54"/>
      <c r="H203" s="54"/>
      <c r="I203" s="54"/>
    </row>
    <row r="204" spans="7:9" ht="13">
      <c r="G204" s="54"/>
      <c r="H204" s="54"/>
      <c r="I204" s="54"/>
    </row>
    <row r="205" spans="7:9" ht="13">
      <c r="G205" s="54"/>
      <c r="H205" s="54"/>
      <c r="I205" s="54"/>
    </row>
    <row r="206" spans="7:9" ht="13">
      <c r="G206" s="54"/>
      <c r="H206" s="54"/>
      <c r="I206" s="54"/>
    </row>
    <row r="207" spans="7:9" ht="13">
      <c r="G207" s="54"/>
      <c r="H207" s="54"/>
      <c r="I207" s="54"/>
    </row>
    <row r="208" spans="7:9" ht="13">
      <c r="G208" s="54"/>
      <c r="H208" s="54"/>
      <c r="I208" s="54"/>
    </row>
    <row r="209" spans="7:9" ht="13">
      <c r="G209" s="54"/>
      <c r="H209" s="54"/>
      <c r="I209" s="54"/>
    </row>
    <row r="210" spans="7:9" ht="13">
      <c r="G210" s="54"/>
      <c r="H210" s="54"/>
      <c r="I210" s="54"/>
    </row>
    <row r="211" spans="7:9" ht="13">
      <c r="G211" s="54"/>
      <c r="H211" s="54"/>
      <c r="I211" s="54"/>
    </row>
    <row r="212" spans="7:9" ht="13">
      <c r="G212" s="54"/>
      <c r="H212" s="54"/>
      <c r="I212" s="54"/>
    </row>
    <row r="213" spans="7:9" ht="13">
      <c r="G213" s="54"/>
      <c r="H213" s="54"/>
      <c r="I213" s="54"/>
    </row>
    <row r="214" spans="7:9" ht="13">
      <c r="G214" s="54"/>
      <c r="H214" s="54"/>
      <c r="I214" s="54"/>
    </row>
    <row r="215" spans="7:9" ht="13">
      <c r="G215" s="54"/>
      <c r="H215" s="54"/>
      <c r="I215" s="54"/>
    </row>
    <row r="216" spans="7:9" ht="13">
      <c r="G216" s="54"/>
      <c r="H216" s="54"/>
      <c r="I216" s="54"/>
    </row>
    <row r="217" spans="7:9" ht="13">
      <c r="G217" s="54"/>
      <c r="H217" s="54"/>
      <c r="I217" s="54"/>
    </row>
    <row r="218" spans="7:9" ht="13">
      <c r="G218" s="54"/>
      <c r="H218" s="54"/>
      <c r="I218" s="54"/>
    </row>
    <row r="219" spans="7:9" ht="13">
      <c r="G219" s="54"/>
      <c r="H219" s="54"/>
      <c r="I219" s="54"/>
    </row>
    <row r="220" spans="7:9" ht="13">
      <c r="G220" s="54"/>
      <c r="H220" s="54"/>
      <c r="I220" s="54"/>
    </row>
    <row r="221" spans="7:9" ht="13">
      <c r="G221" s="54"/>
      <c r="H221" s="54"/>
      <c r="I221" s="54"/>
    </row>
    <row r="222" spans="7:9" ht="13">
      <c r="G222" s="54"/>
      <c r="H222" s="54"/>
      <c r="I222" s="54"/>
    </row>
    <row r="223" spans="7:9" ht="13">
      <c r="G223" s="54"/>
      <c r="H223" s="54"/>
      <c r="I223" s="54"/>
    </row>
    <row r="224" spans="7:9" ht="13">
      <c r="G224" s="54"/>
      <c r="H224" s="54"/>
      <c r="I224" s="54"/>
    </row>
    <row r="225" spans="7:9" ht="13">
      <c r="G225" s="54"/>
      <c r="H225" s="54"/>
      <c r="I225" s="54"/>
    </row>
    <row r="226" spans="7:9" ht="13">
      <c r="G226" s="54"/>
      <c r="H226" s="54"/>
      <c r="I226" s="54"/>
    </row>
    <row r="227" spans="7:9" ht="13">
      <c r="G227" s="54"/>
      <c r="H227" s="54"/>
      <c r="I227" s="54"/>
    </row>
    <row r="228" spans="7:9" ht="13">
      <c r="G228" s="54"/>
      <c r="H228" s="54"/>
      <c r="I228" s="54"/>
    </row>
    <row r="229" spans="7:9" ht="13">
      <c r="G229" s="54"/>
      <c r="H229" s="54"/>
      <c r="I229" s="54"/>
    </row>
    <row r="230" spans="7:9" ht="13">
      <c r="G230" s="54"/>
      <c r="H230" s="54"/>
      <c r="I230" s="54"/>
    </row>
    <row r="231" spans="7:9" ht="13">
      <c r="G231" s="54"/>
      <c r="H231" s="54"/>
      <c r="I231" s="54"/>
    </row>
    <row r="232" spans="7:9" ht="13">
      <c r="G232" s="54"/>
      <c r="H232" s="54"/>
      <c r="I232" s="54"/>
    </row>
    <row r="233" spans="7:9" ht="13">
      <c r="G233" s="54"/>
      <c r="H233" s="54"/>
      <c r="I233" s="54"/>
    </row>
    <row r="234" spans="7:9" ht="13">
      <c r="G234" s="54"/>
      <c r="H234" s="54"/>
      <c r="I234" s="54"/>
    </row>
    <row r="235" spans="7:9" ht="13">
      <c r="G235" s="54"/>
      <c r="H235" s="54"/>
      <c r="I235" s="54"/>
    </row>
    <row r="236" spans="7:9" ht="13">
      <c r="G236" s="54"/>
      <c r="H236" s="54"/>
      <c r="I236" s="54"/>
    </row>
    <row r="237" spans="7:9" ht="13">
      <c r="G237" s="54"/>
      <c r="H237" s="54"/>
      <c r="I237" s="54"/>
    </row>
    <row r="238" spans="7:9" ht="13">
      <c r="G238" s="54"/>
      <c r="H238" s="54"/>
      <c r="I238" s="54"/>
    </row>
    <row r="239" spans="7:9" ht="13">
      <c r="G239" s="54"/>
      <c r="H239" s="54"/>
      <c r="I239" s="54"/>
    </row>
    <row r="240" spans="7:9" ht="13">
      <c r="G240" s="54"/>
      <c r="H240" s="54"/>
      <c r="I240" s="54"/>
    </row>
    <row r="241" spans="7:9" ht="13">
      <c r="G241" s="54"/>
      <c r="H241" s="54"/>
      <c r="I241" s="54"/>
    </row>
    <row r="242" spans="7:9" ht="13">
      <c r="G242" s="54"/>
      <c r="H242" s="54"/>
      <c r="I242" s="54"/>
    </row>
    <row r="243" spans="7:9" ht="13">
      <c r="G243" s="54"/>
      <c r="H243" s="54"/>
      <c r="I243" s="54"/>
    </row>
    <row r="244" spans="7:9" ht="13">
      <c r="G244" s="54"/>
      <c r="H244" s="54"/>
      <c r="I244" s="54"/>
    </row>
    <row r="245" spans="7:9" ht="13">
      <c r="G245" s="54"/>
      <c r="H245" s="54"/>
      <c r="I245" s="54"/>
    </row>
    <row r="246" spans="7:9" ht="13">
      <c r="G246" s="54"/>
      <c r="H246" s="54"/>
      <c r="I246" s="54"/>
    </row>
    <row r="247" spans="7:9" ht="13">
      <c r="G247" s="54"/>
      <c r="H247" s="54"/>
      <c r="I247" s="54"/>
    </row>
    <row r="248" spans="7:9" ht="13">
      <c r="G248" s="54"/>
      <c r="H248" s="54"/>
      <c r="I248" s="54"/>
    </row>
    <row r="249" spans="7:9" ht="13">
      <c r="G249" s="54"/>
      <c r="H249" s="54"/>
      <c r="I249" s="54"/>
    </row>
    <row r="250" spans="7:9" ht="13">
      <c r="G250" s="54"/>
      <c r="H250" s="54"/>
      <c r="I250" s="54"/>
    </row>
    <row r="251" spans="7:9" ht="13">
      <c r="G251" s="54"/>
      <c r="H251" s="54"/>
      <c r="I251" s="54"/>
    </row>
    <row r="252" spans="7:9" ht="13">
      <c r="G252" s="54"/>
      <c r="H252" s="54"/>
      <c r="I252" s="54"/>
    </row>
    <row r="253" spans="7:9" ht="13">
      <c r="G253" s="54"/>
      <c r="H253" s="54"/>
      <c r="I253" s="54"/>
    </row>
    <row r="254" spans="7:9" ht="13">
      <c r="G254" s="54"/>
      <c r="H254" s="54"/>
      <c r="I254" s="54"/>
    </row>
    <row r="255" spans="7:9" ht="13">
      <c r="G255" s="54"/>
      <c r="H255" s="54"/>
      <c r="I255" s="54"/>
    </row>
    <row r="256" spans="7:9" ht="13">
      <c r="G256" s="54"/>
      <c r="H256" s="54"/>
      <c r="I256" s="54"/>
    </row>
    <row r="257" spans="7:9" ht="13">
      <c r="G257" s="54"/>
      <c r="H257" s="54"/>
      <c r="I257" s="54"/>
    </row>
    <row r="258" spans="7:9" ht="13">
      <c r="G258" s="54"/>
      <c r="H258" s="54"/>
      <c r="I258" s="54"/>
    </row>
    <row r="259" spans="7:9" ht="13">
      <c r="G259" s="54"/>
      <c r="H259" s="54"/>
      <c r="I259" s="54"/>
    </row>
    <row r="260" spans="7:9" ht="13">
      <c r="G260" s="54"/>
      <c r="H260" s="54"/>
      <c r="I260" s="54"/>
    </row>
    <row r="261" spans="7:9" ht="13">
      <c r="G261" s="54"/>
      <c r="H261" s="54"/>
      <c r="I261" s="54"/>
    </row>
    <row r="262" spans="7:9" ht="13">
      <c r="G262" s="54"/>
      <c r="H262" s="54"/>
      <c r="I262" s="54"/>
    </row>
    <row r="263" spans="7:9" ht="13">
      <c r="G263" s="54"/>
      <c r="H263" s="54"/>
      <c r="I263" s="54"/>
    </row>
    <row r="264" spans="7:9" ht="13">
      <c r="G264" s="54"/>
      <c r="H264" s="54"/>
      <c r="I264" s="54"/>
    </row>
    <row r="265" spans="7:9" ht="13">
      <c r="G265" s="54"/>
      <c r="H265" s="54"/>
      <c r="I265" s="54"/>
    </row>
    <row r="266" spans="7:9" ht="13">
      <c r="G266" s="54"/>
      <c r="H266" s="54"/>
      <c r="I266" s="54"/>
    </row>
    <row r="267" spans="7:9" ht="13">
      <c r="G267" s="54"/>
      <c r="H267" s="54"/>
      <c r="I267" s="54"/>
    </row>
    <row r="268" spans="7:9" ht="13">
      <c r="G268" s="54"/>
      <c r="H268" s="54"/>
      <c r="I268" s="54"/>
    </row>
    <row r="269" spans="7:9" ht="13">
      <c r="G269" s="54"/>
      <c r="H269" s="54"/>
      <c r="I269" s="54"/>
    </row>
    <row r="270" spans="7:9" ht="13">
      <c r="G270" s="54"/>
      <c r="H270" s="54"/>
      <c r="I270" s="54"/>
    </row>
    <row r="271" spans="7:9" ht="13">
      <c r="G271" s="54"/>
      <c r="H271" s="54"/>
      <c r="I271" s="54"/>
    </row>
    <row r="272" spans="7:9" ht="13">
      <c r="G272" s="54"/>
      <c r="H272" s="54"/>
      <c r="I272" s="54"/>
    </row>
    <row r="273" spans="7:9" ht="13">
      <c r="G273" s="54"/>
      <c r="H273" s="54"/>
      <c r="I273" s="54"/>
    </row>
    <row r="274" spans="7:9" ht="13">
      <c r="G274" s="54"/>
      <c r="H274" s="54"/>
      <c r="I274" s="54"/>
    </row>
    <row r="275" spans="7:9" ht="13">
      <c r="G275" s="54"/>
      <c r="H275" s="54"/>
      <c r="I275" s="54"/>
    </row>
    <row r="276" spans="7:9" ht="13">
      <c r="G276" s="54"/>
      <c r="H276" s="54"/>
      <c r="I276" s="54"/>
    </row>
    <row r="277" spans="7:9" ht="13">
      <c r="G277" s="54"/>
      <c r="H277" s="54"/>
      <c r="I277" s="54"/>
    </row>
    <row r="278" spans="7:9" ht="13">
      <c r="G278" s="54"/>
      <c r="H278" s="54"/>
      <c r="I278" s="54"/>
    </row>
    <row r="279" spans="7:9" ht="13">
      <c r="G279" s="54"/>
      <c r="H279" s="54"/>
      <c r="I279" s="54"/>
    </row>
    <row r="280" spans="7:9" ht="13">
      <c r="G280" s="54"/>
      <c r="H280" s="54"/>
      <c r="I280" s="54"/>
    </row>
    <row r="281" spans="7:9" ht="13">
      <c r="G281" s="54"/>
      <c r="H281" s="54"/>
      <c r="I281" s="54"/>
    </row>
    <row r="282" spans="7:9" ht="13">
      <c r="G282" s="54"/>
      <c r="H282" s="54"/>
      <c r="I282" s="54"/>
    </row>
    <row r="283" spans="7:9" ht="13">
      <c r="G283" s="54"/>
      <c r="H283" s="54"/>
      <c r="I283" s="54"/>
    </row>
    <row r="284" spans="7:9" ht="13">
      <c r="G284" s="54"/>
      <c r="H284" s="54"/>
      <c r="I284" s="54"/>
    </row>
    <row r="285" spans="7:9" ht="13">
      <c r="G285" s="54"/>
      <c r="H285" s="54"/>
      <c r="I285" s="54"/>
    </row>
    <row r="286" spans="7:9" ht="13">
      <c r="G286" s="54"/>
      <c r="H286" s="54"/>
      <c r="I286" s="54"/>
    </row>
    <row r="287" spans="7:9" ht="13">
      <c r="G287" s="54"/>
      <c r="H287" s="54"/>
      <c r="I287" s="54"/>
    </row>
    <row r="288" spans="7:9" ht="13">
      <c r="G288" s="54"/>
      <c r="H288" s="54"/>
      <c r="I288" s="54"/>
    </row>
    <row r="289" spans="7:9" ht="13">
      <c r="G289" s="54"/>
      <c r="H289" s="54"/>
      <c r="I289" s="54"/>
    </row>
    <row r="290" spans="7:9" ht="13">
      <c r="G290" s="54"/>
      <c r="H290" s="54"/>
      <c r="I290" s="54"/>
    </row>
    <row r="291" spans="7:9" ht="13">
      <c r="G291" s="54"/>
      <c r="H291" s="54"/>
      <c r="I291" s="54"/>
    </row>
    <row r="292" spans="7:9" ht="13">
      <c r="G292" s="54"/>
      <c r="H292" s="54"/>
      <c r="I292" s="54"/>
    </row>
    <row r="293" spans="7:9" ht="13">
      <c r="G293" s="54"/>
      <c r="H293" s="54"/>
      <c r="I293" s="54"/>
    </row>
    <row r="294" spans="7:9" ht="13">
      <c r="G294" s="54"/>
      <c r="H294" s="54"/>
      <c r="I294" s="54"/>
    </row>
    <row r="295" spans="7:9" ht="13">
      <c r="G295" s="54"/>
      <c r="H295" s="54"/>
      <c r="I295" s="54"/>
    </row>
    <row r="296" spans="7:9" ht="13">
      <c r="G296" s="54"/>
      <c r="H296" s="54"/>
      <c r="I296" s="54"/>
    </row>
    <row r="297" spans="7:9" ht="13">
      <c r="G297" s="54"/>
      <c r="H297" s="54"/>
      <c r="I297" s="54"/>
    </row>
    <row r="298" spans="7:9" ht="13">
      <c r="G298" s="54"/>
      <c r="H298" s="54"/>
      <c r="I298" s="54"/>
    </row>
    <row r="299" spans="7:9" ht="13">
      <c r="G299" s="54"/>
      <c r="H299" s="54"/>
      <c r="I299" s="54"/>
    </row>
    <row r="300" spans="7:9" ht="13">
      <c r="G300" s="54"/>
      <c r="H300" s="54"/>
      <c r="I300" s="54"/>
    </row>
    <row r="301" spans="7:9" ht="13">
      <c r="G301" s="54"/>
      <c r="H301" s="54"/>
      <c r="I301" s="54"/>
    </row>
    <row r="302" spans="7:9" ht="13">
      <c r="G302" s="54"/>
      <c r="H302" s="54"/>
      <c r="I302" s="54"/>
    </row>
    <row r="303" spans="7:9" ht="13">
      <c r="G303" s="54"/>
      <c r="H303" s="54"/>
      <c r="I303" s="54"/>
    </row>
    <row r="304" spans="7:9" ht="13">
      <c r="G304" s="54"/>
      <c r="H304" s="54"/>
      <c r="I304" s="54"/>
    </row>
    <row r="305" spans="7:9" ht="13">
      <c r="G305" s="54"/>
      <c r="H305" s="54"/>
      <c r="I305" s="54"/>
    </row>
    <row r="306" spans="7:9" ht="13">
      <c r="G306" s="54"/>
      <c r="H306" s="54"/>
      <c r="I306" s="54"/>
    </row>
    <row r="307" spans="7:9" ht="13">
      <c r="G307" s="54"/>
      <c r="H307" s="54"/>
      <c r="I307" s="54"/>
    </row>
    <row r="308" spans="7:9" ht="13">
      <c r="G308" s="54"/>
      <c r="H308" s="54"/>
      <c r="I308" s="54"/>
    </row>
    <row r="309" spans="7:9" ht="13">
      <c r="G309" s="54"/>
      <c r="H309" s="54"/>
      <c r="I309" s="54"/>
    </row>
    <row r="310" spans="7:9" ht="13">
      <c r="G310" s="54"/>
      <c r="H310" s="54"/>
      <c r="I310" s="54"/>
    </row>
    <row r="311" spans="7:9" ht="13">
      <c r="G311" s="54"/>
      <c r="H311" s="54"/>
      <c r="I311" s="54"/>
    </row>
    <row r="312" spans="7:9" ht="13">
      <c r="G312" s="54"/>
      <c r="H312" s="54"/>
      <c r="I312" s="54"/>
    </row>
    <row r="313" spans="7:9" ht="13">
      <c r="G313" s="54"/>
      <c r="H313" s="54"/>
      <c r="I313" s="54"/>
    </row>
    <row r="314" spans="7:9" ht="13">
      <c r="G314" s="54"/>
      <c r="H314" s="54"/>
      <c r="I314" s="54"/>
    </row>
    <row r="315" spans="7:9" ht="13">
      <c r="G315" s="54"/>
      <c r="H315" s="54"/>
      <c r="I315" s="54"/>
    </row>
    <row r="316" spans="7:9" ht="13">
      <c r="G316" s="54"/>
      <c r="H316" s="54"/>
      <c r="I316" s="54"/>
    </row>
    <row r="317" spans="7:9" ht="13">
      <c r="G317" s="54"/>
      <c r="H317" s="54"/>
      <c r="I317" s="54"/>
    </row>
    <row r="318" spans="7:9" ht="13">
      <c r="G318" s="54"/>
      <c r="H318" s="54"/>
      <c r="I318" s="54"/>
    </row>
    <row r="319" spans="7:9" ht="13">
      <c r="G319" s="54"/>
      <c r="H319" s="54"/>
      <c r="I319" s="54"/>
    </row>
    <row r="320" spans="7:9" ht="13">
      <c r="G320" s="54"/>
      <c r="H320" s="54"/>
      <c r="I320" s="54"/>
    </row>
    <row r="321" spans="7:9" ht="13">
      <c r="G321" s="54"/>
      <c r="H321" s="54"/>
      <c r="I321" s="54"/>
    </row>
    <row r="322" spans="7:9" ht="13">
      <c r="G322" s="54"/>
      <c r="H322" s="54"/>
      <c r="I322" s="54"/>
    </row>
    <row r="323" spans="7:9" ht="13">
      <c r="G323" s="54"/>
      <c r="H323" s="54"/>
      <c r="I323" s="54"/>
    </row>
    <row r="324" spans="7:9" ht="13">
      <c r="G324" s="54"/>
      <c r="H324" s="54"/>
      <c r="I324" s="54"/>
    </row>
    <row r="325" spans="7:9" ht="13">
      <c r="G325" s="54"/>
      <c r="H325" s="54"/>
      <c r="I325" s="54"/>
    </row>
    <row r="326" spans="7:9" ht="13">
      <c r="G326" s="54"/>
      <c r="H326" s="54"/>
      <c r="I326" s="54"/>
    </row>
    <row r="327" spans="7:9" ht="13">
      <c r="G327" s="54"/>
      <c r="H327" s="54"/>
      <c r="I327" s="54"/>
    </row>
    <row r="328" spans="7:9" ht="13">
      <c r="G328" s="54"/>
      <c r="H328" s="54"/>
      <c r="I328" s="54"/>
    </row>
    <row r="329" spans="7:9" ht="13">
      <c r="G329" s="54"/>
      <c r="H329" s="54"/>
      <c r="I329" s="54"/>
    </row>
    <row r="330" spans="7:9" ht="13">
      <c r="G330" s="54"/>
      <c r="H330" s="54"/>
      <c r="I330" s="54"/>
    </row>
    <row r="331" spans="7:9" ht="13">
      <c r="G331" s="54"/>
      <c r="H331" s="54"/>
      <c r="I331" s="54"/>
    </row>
    <row r="332" spans="7:9" ht="13">
      <c r="G332" s="54"/>
      <c r="H332" s="54"/>
      <c r="I332" s="54"/>
    </row>
    <row r="333" spans="7:9" ht="13">
      <c r="G333" s="54"/>
      <c r="H333" s="54"/>
      <c r="I333" s="54"/>
    </row>
    <row r="334" spans="7:9" ht="13">
      <c r="G334" s="54"/>
      <c r="H334" s="54"/>
      <c r="I334" s="54"/>
    </row>
    <row r="335" spans="7:9" ht="13">
      <c r="G335" s="54"/>
      <c r="H335" s="54"/>
      <c r="I335" s="54"/>
    </row>
    <row r="336" spans="7:9" ht="13">
      <c r="G336" s="54"/>
      <c r="H336" s="54"/>
      <c r="I336" s="54"/>
    </row>
    <row r="337" spans="7:9" ht="13">
      <c r="G337" s="54"/>
      <c r="H337" s="54"/>
      <c r="I337" s="54"/>
    </row>
    <row r="338" spans="7:9" ht="13">
      <c r="G338" s="54"/>
      <c r="H338" s="54"/>
      <c r="I338" s="54"/>
    </row>
    <row r="339" spans="7:9" ht="13">
      <c r="G339" s="54"/>
      <c r="H339" s="54"/>
      <c r="I339" s="54"/>
    </row>
    <row r="340" spans="7:9" ht="13">
      <c r="G340" s="54"/>
      <c r="H340" s="54"/>
      <c r="I340" s="54"/>
    </row>
    <row r="341" spans="7:9" ht="13">
      <c r="G341" s="54"/>
      <c r="H341" s="54"/>
      <c r="I341" s="54"/>
    </row>
    <row r="342" spans="7:9" ht="13">
      <c r="G342" s="54"/>
      <c r="H342" s="54"/>
      <c r="I342" s="54"/>
    </row>
    <row r="343" spans="7:9" ht="13">
      <c r="G343" s="54"/>
      <c r="H343" s="54"/>
      <c r="I343" s="54"/>
    </row>
    <row r="344" spans="7:9" ht="13">
      <c r="G344" s="54"/>
      <c r="H344" s="54"/>
      <c r="I344" s="54"/>
    </row>
    <row r="345" spans="7:9" ht="13">
      <c r="G345" s="54"/>
      <c r="H345" s="54"/>
      <c r="I345" s="54"/>
    </row>
    <row r="346" spans="7:9" ht="13">
      <c r="G346" s="54"/>
      <c r="H346" s="54"/>
      <c r="I346" s="54"/>
    </row>
    <row r="347" spans="7:9" ht="13">
      <c r="G347" s="54"/>
      <c r="H347" s="54"/>
      <c r="I347" s="54"/>
    </row>
    <row r="348" spans="7:9" ht="13">
      <c r="G348" s="54"/>
      <c r="H348" s="54"/>
      <c r="I348" s="54"/>
    </row>
    <row r="349" spans="7:9" ht="13">
      <c r="G349" s="54"/>
      <c r="H349" s="54"/>
      <c r="I349" s="54"/>
    </row>
    <row r="350" spans="7:9" ht="13">
      <c r="G350" s="54"/>
      <c r="H350" s="54"/>
      <c r="I350" s="54"/>
    </row>
    <row r="351" spans="7:9" ht="13">
      <c r="G351" s="54"/>
      <c r="H351" s="54"/>
      <c r="I351" s="54"/>
    </row>
    <row r="352" spans="7:9" ht="13">
      <c r="G352" s="54"/>
      <c r="H352" s="54"/>
      <c r="I352" s="54"/>
    </row>
    <row r="353" spans="7:9" ht="13">
      <c r="G353" s="54"/>
      <c r="H353" s="54"/>
      <c r="I353" s="54"/>
    </row>
    <row r="354" spans="7:9" ht="13">
      <c r="G354" s="54"/>
      <c r="H354" s="54"/>
      <c r="I354" s="54"/>
    </row>
    <row r="355" spans="7:9" ht="13">
      <c r="G355" s="54"/>
      <c r="H355" s="54"/>
      <c r="I355" s="54"/>
    </row>
    <row r="356" spans="7:9" ht="13">
      <c r="G356" s="54"/>
      <c r="H356" s="54"/>
      <c r="I356" s="54"/>
    </row>
    <row r="357" spans="7:9" ht="13">
      <c r="G357" s="54"/>
      <c r="H357" s="54"/>
      <c r="I357" s="54"/>
    </row>
    <row r="358" spans="7:9" ht="13">
      <c r="G358" s="54"/>
      <c r="H358" s="54"/>
      <c r="I358" s="54"/>
    </row>
    <row r="359" spans="7:9" ht="13">
      <c r="G359" s="54"/>
      <c r="H359" s="54"/>
      <c r="I359" s="54"/>
    </row>
    <row r="360" spans="7:9" ht="13">
      <c r="G360" s="54"/>
      <c r="H360" s="54"/>
      <c r="I360" s="54"/>
    </row>
    <row r="361" spans="7:9" ht="13">
      <c r="G361" s="54"/>
      <c r="H361" s="54"/>
      <c r="I361" s="54"/>
    </row>
    <row r="362" spans="7:9" ht="13">
      <c r="G362" s="54"/>
      <c r="H362" s="54"/>
      <c r="I362" s="54"/>
    </row>
    <row r="363" spans="7:9" ht="13">
      <c r="G363" s="54"/>
      <c r="H363" s="54"/>
      <c r="I363" s="54"/>
    </row>
    <row r="364" spans="7:9" ht="13">
      <c r="G364" s="54"/>
      <c r="H364" s="54"/>
      <c r="I364" s="54"/>
    </row>
    <row r="365" spans="7:9" ht="13">
      <c r="G365" s="54"/>
      <c r="H365" s="54"/>
      <c r="I365" s="54"/>
    </row>
    <row r="366" spans="7:9" ht="13">
      <c r="G366" s="54"/>
      <c r="H366" s="54"/>
      <c r="I366" s="54"/>
    </row>
    <row r="367" spans="7:9" ht="13">
      <c r="G367" s="54"/>
      <c r="H367" s="54"/>
      <c r="I367" s="54"/>
    </row>
    <row r="368" spans="7:9" ht="13">
      <c r="G368" s="54"/>
      <c r="H368" s="54"/>
      <c r="I368" s="54"/>
    </row>
    <row r="369" spans="7:9" ht="13">
      <c r="G369" s="54"/>
      <c r="H369" s="54"/>
      <c r="I369" s="54"/>
    </row>
    <row r="370" spans="7:9" ht="13">
      <c r="G370" s="54"/>
      <c r="H370" s="54"/>
      <c r="I370" s="54"/>
    </row>
    <row r="371" spans="7:9" ht="13">
      <c r="G371" s="54"/>
      <c r="H371" s="54"/>
      <c r="I371" s="54"/>
    </row>
    <row r="372" spans="7:9" ht="13">
      <c r="G372" s="54"/>
      <c r="H372" s="54"/>
      <c r="I372" s="54"/>
    </row>
    <row r="373" spans="7:9" ht="13">
      <c r="G373" s="54"/>
      <c r="H373" s="54"/>
      <c r="I373" s="54"/>
    </row>
    <row r="374" spans="7:9" ht="13">
      <c r="G374" s="54"/>
      <c r="H374" s="54"/>
      <c r="I374" s="54"/>
    </row>
    <row r="375" spans="7:9" ht="13">
      <c r="G375" s="54"/>
      <c r="H375" s="54"/>
      <c r="I375" s="54"/>
    </row>
    <row r="376" spans="7:9" ht="13">
      <c r="G376" s="54"/>
      <c r="H376" s="54"/>
      <c r="I376" s="54"/>
    </row>
    <row r="377" spans="7:9" ht="13">
      <c r="G377" s="54"/>
      <c r="H377" s="54"/>
      <c r="I377" s="54"/>
    </row>
    <row r="378" spans="7:9" ht="13">
      <c r="G378" s="54"/>
      <c r="H378" s="54"/>
      <c r="I378" s="54"/>
    </row>
    <row r="379" spans="7:9" ht="13">
      <c r="G379" s="54"/>
      <c r="H379" s="54"/>
      <c r="I379" s="54"/>
    </row>
    <row r="380" spans="7:9" ht="13">
      <c r="G380" s="54"/>
      <c r="H380" s="54"/>
      <c r="I380" s="54"/>
    </row>
    <row r="381" spans="7:9" ht="13">
      <c r="G381" s="54"/>
      <c r="H381" s="54"/>
      <c r="I381" s="54"/>
    </row>
    <row r="382" spans="7:9" ht="13">
      <c r="G382" s="54"/>
      <c r="H382" s="54"/>
      <c r="I382" s="54"/>
    </row>
    <row r="383" spans="7:9" ht="13">
      <c r="G383" s="54"/>
      <c r="H383" s="54"/>
      <c r="I383" s="54"/>
    </row>
    <row r="384" spans="7:9" ht="13">
      <c r="G384" s="54"/>
      <c r="H384" s="54"/>
      <c r="I384" s="54"/>
    </row>
    <row r="385" spans="7:9" ht="13">
      <c r="G385" s="54"/>
      <c r="H385" s="54"/>
      <c r="I385" s="54"/>
    </row>
    <row r="386" spans="7:9" ht="13">
      <c r="G386" s="54"/>
      <c r="H386" s="54"/>
      <c r="I386" s="54"/>
    </row>
    <row r="387" spans="7:9" ht="13">
      <c r="G387" s="54"/>
      <c r="H387" s="54"/>
      <c r="I387" s="54"/>
    </row>
    <row r="388" spans="7:9" ht="13">
      <c r="G388" s="54"/>
      <c r="H388" s="54"/>
      <c r="I388" s="54"/>
    </row>
    <row r="389" spans="7:9" ht="13">
      <c r="G389" s="54"/>
      <c r="H389" s="54"/>
      <c r="I389" s="54"/>
    </row>
    <row r="390" spans="7:9" ht="13">
      <c r="G390" s="54"/>
      <c r="H390" s="54"/>
      <c r="I390" s="54"/>
    </row>
    <row r="391" spans="7:9" ht="13">
      <c r="G391" s="54"/>
      <c r="H391" s="54"/>
      <c r="I391" s="54"/>
    </row>
    <row r="392" spans="7:9" ht="13">
      <c r="G392" s="54"/>
      <c r="H392" s="54"/>
      <c r="I392" s="54"/>
    </row>
    <row r="393" spans="7:9" ht="13">
      <c r="G393" s="54"/>
      <c r="H393" s="54"/>
      <c r="I393" s="54"/>
    </row>
    <row r="394" spans="7:9" ht="13">
      <c r="G394" s="54"/>
      <c r="H394" s="54"/>
      <c r="I394" s="54"/>
    </row>
    <row r="395" spans="7:9" ht="13">
      <c r="G395" s="54"/>
      <c r="H395" s="54"/>
      <c r="I395" s="54"/>
    </row>
    <row r="396" spans="7:9" ht="13">
      <c r="G396" s="54"/>
      <c r="H396" s="54"/>
      <c r="I396" s="54"/>
    </row>
    <row r="397" spans="7:9" ht="13">
      <c r="G397" s="54"/>
      <c r="H397" s="54"/>
      <c r="I397" s="54"/>
    </row>
    <row r="398" spans="7:9" ht="13">
      <c r="G398" s="54"/>
      <c r="H398" s="54"/>
      <c r="I398" s="54"/>
    </row>
    <row r="399" spans="7:9" ht="13">
      <c r="G399" s="54"/>
      <c r="H399" s="54"/>
      <c r="I399" s="54"/>
    </row>
    <row r="400" spans="7:9" ht="13">
      <c r="G400" s="54"/>
      <c r="H400" s="54"/>
      <c r="I400" s="54"/>
    </row>
    <row r="401" spans="7:9" ht="13">
      <c r="G401" s="54"/>
      <c r="H401" s="54"/>
      <c r="I401" s="54"/>
    </row>
    <row r="402" spans="7:9" ht="13">
      <c r="G402" s="54"/>
      <c r="H402" s="54"/>
      <c r="I402" s="54"/>
    </row>
    <row r="403" spans="7:9" ht="13">
      <c r="G403" s="54"/>
      <c r="H403" s="54"/>
      <c r="I403" s="54"/>
    </row>
    <row r="404" spans="7:9" ht="13">
      <c r="G404" s="54"/>
      <c r="H404" s="54"/>
      <c r="I404" s="54"/>
    </row>
    <row r="405" spans="7:9" ht="13">
      <c r="G405" s="54"/>
      <c r="H405" s="54"/>
      <c r="I405" s="54"/>
    </row>
    <row r="406" spans="7:9" ht="13">
      <c r="G406" s="54"/>
      <c r="H406" s="54"/>
      <c r="I406" s="54"/>
    </row>
    <row r="407" spans="7:9" ht="13">
      <c r="G407" s="54"/>
      <c r="H407" s="54"/>
      <c r="I407" s="54"/>
    </row>
    <row r="408" spans="7:9" ht="13">
      <c r="G408" s="54"/>
      <c r="H408" s="54"/>
      <c r="I408" s="54"/>
    </row>
    <row r="409" spans="7:9" ht="13">
      <c r="G409" s="54"/>
      <c r="H409" s="54"/>
      <c r="I409" s="54"/>
    </row>
    <row r="410" spans="7:9" ht="13">
      <c r="G410" s="54"/>
      <c r="H410" s="54"/>
      <c r="I410" s="54"/>
    </row>
    <row r="411" spans="7:9" ht="13">
      <c r="G411" s="54"/>
      <c r="H411" s="54"/>
      <c r="I411" s="54"/>
    </row>
    <row r="412" spans="7:9" ht="13">
      <c r="G412" s="54"/>
      <c r="H412" s="54"/>
      <c r="I412" s="54"/>
    </row>
    <row r="413" spans="7:9" ht="13">
      <c r="G413" s="54"/>
      <c r="H413" s="54"/>
      <c r="I413" s="54"/>
    </row>
    <row r="414" spans="7:9" ht="13">
      <c r="G414" s="54"/>
      <c r="H414" s="54"/>
      <c r="I414" s="54"/>
    </row>
    <row r="415" spans="7:9" ht="13">
      <c r="G415" s="54"/>
      <c r="H415" s="54"/>
      <c r="I415" s="54"/>
    </row>
    <row r="416" spans="7:9" ht="13">
      <c r="G416" s="54"/>
      <c r="H416" s="54"/>
      <c r="I416" s="54"/>
    </row>
    <row r="417" spans="7:9" ht="13">
      <c r="G417" s="54"/>
      <c r="H417" s="54"/>
      <c r="I417" s="54"/>
    </row>
    <row r="418" spans="7:9" ht="13">
      <c r="G418" s="54"/>
      <c r="H418" s="54"/>
      <c r="I418" s="54"/>
    </row>
    <row r="419" spans="7:9" ht="13">
      <c r="G419" s="54"/>
      <c r="H419" s="54"/>
      <c r="I419" s="54"/>
    </row>
    <row r="420" spans="7:9" ht="13">
      <c r="G420" s="54"/>
      <c r="H420" s="54"/>
      <c r="I420" s="54"/>
    </row>
    <row r="421" spans="7:9" ht="13">
      <c r="G421" s="54"/>
      <c r="H421" s="54"/>
      <c r="I421" s="54"/>
    </row>
    <row r="422" spans="7:9" ht="13">
      <c r="G422" s="54"/>
      <c r="H422" s="54"/>
      <c r="I422" s="54"/>
    </row>
    <row r="423" spans="7:9" ht="13">
      <c r="G423" s="54"/>
      <c r="H423" s="54"/>
      <c r="I423" s="54"/>
    </row>
    <row r="424" spans="7:9" ht="13">
      <c r="G424" s="54"/>
      <c r="H424" s="54"/>
      <c r="I424" s="54"/>
    </row>
    <row r="425" spans="7:9" ht="13">
      <c r="G425" s="54"/>
      <c r="H425" s="54"/>
      <c r="I425" s="54"/>
    </row>
    <row r="426" spans="7:9" ht="13">
      <c r="G426" s="54"/>
      <c r="H426" s="54"/>
      <c r="I426" s="54"/>
    </row>
    <row r="427" spans="7:9" ht="13">
      <c r="G427" s="54"/>
      <c r="H427" s="54"/>
      <c r="I427" s="54"/>
    </row>
    <row r="428" spans="7:9" ht="13">
      <c r="G428" s="54"/>
      <c r="H428" s="54"/>
      <c r="I428" s="54"/>
    </row>
    <row r="429" spans="7:9" ht="13">
      <c r="G429" s="54"/>
      <c r="H429" s="54"/>
      <c r="I429" s="54"/>
    </row>
    <row r="430" spans="7:9" ht="13">
      <c r="G430" s="54"/>
      <c r="H430" s="54"/>
      <c r="I430" s="54"/>
    </row>
    <row r="431" spans="7:9" ht="13">
      <c r="G431" s="54"/>
      <c r="H431" s="54"/>
      <c r="I431" s="54"/>
    </row>
    <row r="432" spans="7:9" ht="13">
      <c r="G432" s="54"/>
      <c r="H432" s="54"/>
      <c r="I432" s="54"/>
    </row>
    <row r="433" spans="7:9" ht="13">
      <c r="G433" s="54"/>
      <c r="H433" s="54"/>
      <c r="I433" s="54"/>
    </row>
    <row r="434" spans="7:9" ht="13">
      <c r="G434" s="54"/>
      <c r="H434" s="54"/>
      <c r="I434" s="54"/>
    </row>
    <row r="435" spans="7:9" ht="13">
      <c r="G435" s="54"/>
      <c r="H435" s="54"/>
      <c r="I435" s="54"/>
    </row>
    <row r="436" spans="7:9" ht="13">
      <c r="G436" s="54"/>
      <c r="H436" s="54"/>
      <c r="I436" s="54"/>
    </row>
    <row r="437" spans="7:9" ht="13">
      <c r="G437" s="54"/>
      <c r="H437" s="54"/>
      <c r="I437" s="54"/>
    </row>
    <row r="438" spans="7:9" ht="13">
      <c r="G438" s="54"/>
      <c r="H438" s="54"/>
      <c r="I438" s="54"/>
    </row>
    <row r="439" spans="7:9" ht="13">
      <c r="G439" s="54"/>
      <c r="H439" s="54"/>
      <c r="I439" s="54"/>
    </row>
    <row r="440" spans="7:9" ht="13">
      <c r="G440" s="54"/>
      <c r="H440" s="54"/>
      <c r="I440" s="54"/>
    </row>
    <row r="441" spans="7:9" ht="13">
      <c r="G441" s="54"/>
      <c r="H441" s="54"/>
      <c r="I441" s="54"/>
    </row>
    <row r="442" spans="7:9" ht="13">
      <c r="G442" s="54"/>
      <c r="H442" s="54"/>
      <c r="I442" s="54"/>
    </row>
    <row r="443" spans="7:9" ht="13">
      <c r="G443" s="54"/>
      <c r="H443" s="54"/>
      <c r="I443" s="54"/>
    </row>
    <row r="444" spans="7:9" ht="13">
      <c r="G444" s="54"/>
      <c r="H444" s="54"/>
      <c r="I444" s="54"/>
    </row>
    <row r="445" spans="7:9" ht="13">
      <c r="G445" s="54"/>
      <c r="H445" s="54"/>
      <c r="I445" s="54"/>
    </row>
    <row r="446" spans="7:9" ht="13">
      <c r="G446" s="54"/>
      <c r="H446" s="54"/>
      <c r="I446" s="54"/>
    </row>
    <row r="447" spans="7:9" ht="13">
      <c r="G447" s="54"/>
      <c r="H447" s="54"/>
      <c r="I447" s="54"/>
    </row>
    <row r="448" spans="7:9" ht="13">
      <c r="G448" s="54"/>
      <c r="H448" s="54"/>
      <c r="I448" s="54"/>
    </row>
    <row r="449" spans="7:9" ht="13">
      <c r="G449" s="54"/>
      <c r="H449" s="54"/>
      <c r="I449" s="54"/>
    </row>
    <row r="450" spans="7:9" ht="13">
      <c r="G450" s="54"/>
      <c r="H450" s="54"/>
      <c r="I450" s="54"/>
    </row>
    <row r="451" spans="7:9" ht="13">
      <c r="G451" s="54"/>
      <c r="H451" s="54"/>
      <c r="I451" s="54"/>
    </row>
    <row r="452" spans="7:9" ht="13">
      <c r="G452" s="54"/>
      <c r="H452" s="54"/>
      <c r="I452" s="54"/>
    </row>
    <row r="453" spans="7:9" ht="13">
      <c r="G453" s="54"/>
      <c r="H453" s="54"/>
      <c r="I453" s="54"/>
    </row>
    <row r="454" spans="7:9" ht="13">
      <c r="G454" s="54"/>
      <c r="H454" s="54"/>
      <c r="I454" s="54"/>
    </row>
    <row r="455" spans="7:9" ht="13">
      <c r="G455" s="54"/>
      <c r="H455" s="54"/>
      <c r="I455" s="54"/>
    </row>
    <row r="456" spans="7:9" ht="13">
      <c r="G456" s="54"/>
      <c r="H456" s="54"/>
      <c r="I456" s="54"/>
    </row>
    <row r="457" spans="7:9" ht="13">
      <c r="G457" s="54"/>
      <c r="H457" s="54"/>
      <c r="I457" s="54"/>
    </row>
    <row r="458" spans="7:9" ht="13">
      <c r="G458" s="54"/>
      <c r="H458" s="54"/>
      <c r="I458" s="54"/>
    </row>
    <row r="459" spans="7:9" ht="13">
      <c r="G459" s="54"/>
      <c r="H459" s="54"/>
      <c r="I459" s="54"/>
    </row>
    <row r="460" spans="7:9" ht="13">
      <c r="G460" s="54"/>
      <c r="H460" s="54"/>
      <c r="I460" s="54"/>
    </row>
    <row r="461" spans="7:9" ht="13">
      <c r="G461" s="54"/>
      <c r="H461" s="54"/>
      <c r="I461" s="54"/>
    </row>
    <row r="462" spans="7:9" ht="13">
      <c r="G462" s="54"/>
      <c r="H462" s="54"/>
      <c r="I462" s="54"/>
    </row>
    <row r="463" spans="7:9" ht="13">
      <c r="G463" s="54"/>
      <c r="H463" s="54"/>
      <c r="I463" s="54"/>
    </row>
    <row r="464" spans="7:9" ht="13">
      <c r="G464" s="54"/>
      <c r="H464" s="54"/>
      <c r="I464" s="54"/>
    </row>
    <row r="465" spans="7:9" ht="13">
      <c r="G465" s="54"/>
      <c r="H465" s="54"/>
      <c r="I465" s="54"/>
    </row>
    <row r="466" spans="7:9" ht="13">
      <c r="G466" s="54"/>
      <c r="H466" s="54"/>
      <c r="I466" s="54"/>
    </row>
    <row r="467" spans="7:9" ht="13">
      <c r="G467" s="54"/>
      <c r="H467" s="54"/>
      <c r="I467" s="54"/>
    </row>
    <row r="468" spans="7:9" ht="13">
      <c r="G468" s="54"/>
      <c r="H468" s="54"/>
      <c r="I468" s="54"/>
    </row>
    <row r="469" spans="7:9" ht="13">
      <c r="G469" s="54"/>
      <c r="H469" s="54"/>
      <c r="I469" s="54"/>
    </row>
    <row r="470" spans="7:9" ht="13">
      <c r="G470" s="54"/>
      <c r="H470" s="54"/>
      <c r="I470" s="54"/>
    </row>
    <row r="471" spans="7:9" ht="13">
      <c r="G471" s="54"/>
      <c r="H471" s="54"/>
      <c r="I471" s="54"/>
    </row>
    <row r="472" spans="7:9" ht="13">
      <c r="G472" s="54"/>
      <c r="H472" s="54"/>
      <c r="I472" s="54"/>
    </row>
    <row r="473" spans="7:9" ht="13">
      <c r="G473" s="54"/>
      <c r="H473" s="54"/>
      <c r="I473" s="54"/>
    </row>
    <row r="474" spans="7:9" ht="13">
      <c r="G474" s="54"/>
      <c r="H474" s="54"/>
      <c r="I474" s="54"/>
    </row>
    <row r="475" spans="7:9" ht="13">
      <c r="G475" s="54"/>
      <c r="H475" s="54"/>
      <c r="I475" s="54"/>
    </row>
    <row r="476" spans="7:9" ht="13">
      <c r="G476" s="54"/>
      <c r="H476" s="54"/>
      <c r="I476" s="54"/>
    </row>
    <row r="477" spans="7:9" ht="13">
      <c r="G477" s="54"/>
      <c r="H477" s="54"/>
      <c r="I477" s="54"/>
    </row>
    <row r="478" spans="7:9" ht="13">
      <c r="G478" s="54"/>
      <c r="H478" s="54"/>
      <c r="I478" s="54"/>
    </row>
    <row r="479" spans="7:9" ht="13">
      <c r="G479" s="54"/>
      <c r="H479" s="54"/>
      <c r="I479" s="54"/>
    </row>
    <row r="480" spans="7:9" ht="13">
      <c r="G480" s="54"/>
      <c r="H480" s="54"/>
      <c r="I480" s="54"/>
    </row>
    <row r="481" spans="7:9" ht="13">
      <c r="G481" s="54"/>
      <c r="H481" s="54"/>
      <c r="I481" s="54"/>
    </row>
    <row r="482" spans="7:9" ht="13">
      <c r="G482" s="54"/>
      <c r="H482" s="54"/>
      <c r="I482" s="54"/>
    </row>
    <row r="483" spans="7:9" ht="13">
      <c r="G483" s="54"/>
      <c r="H483" s="54"/>
      <c r="I483" s="54"/>
    </row>
    <row r="484" spans="7:9" ht="13">
      <c r="G484" s="54"/>
      <c r="H484" s="54"/>
      <c r="I484" s="54"/>
    </row>
    <row r="485" spans="7:9" ht="13">
      <c r="G485" s="54"/>
      <c r="H485" s="54"/>
      <c r="I485" s="54"/>
    </row>
    <row r="486" spans="7:9" ht="13">
      <c r="G486" s="54"/>
      <c r="H486" s="54"/>
      <c r="I486" s="54"/>
    </row>
    <row r="487" spans="7:9" ht="13">
      <c r="G487" s="54"/>
      <c r="H487" s="54"/>
      <c r="I487" s="54"/>
    </row>
    <row r="488" spans="7:9" ht="13">
      <c r="G488" s="54"/>
      <c r="H488" s="54"/>
      <c r="I488" s="54"/>
    </row>
    <row r="489" spans="7:9" ht="13">
      <c r="G489" s="54"/>
      <c r="H489" s="54"/>
      <c r="I489" s="54"/>
    </row>
    <row r="490" spans="7:9" ht="13">
      <c r="G490" s="54"/>
      <c r="H490" s="54"/>
      <c r="I490" s="54"/>
    </row>
    <row r="491" spans="7:9" ht="13">
      <c r="G491" s="54"/>
      <c r="H491" s="54"/>
      <c r="I491" s="54"/>
    </row>
    <row r="492" spans="7:9" ht="13">
      <c r="G492" s="54"/>
      <c r="H492" s="54"/>
      <c r="I492" s="54"/>
    </row>
    <row r="493" spans="7:9" ht="13">
      <c r="G493" s="54"/>
      <c r="H493" s="54"/>
      <c r="I493" s="54"/>
    </row>
    <row r="494" spans="7:9" ht="13">
      <c r="G494" s="54"/>
      <c r="H494" s="54"/>
      <c r="I494" s="54"/>
    </row>
    <row r="495" spans="7:9" ht="13">
      <c r="G495" s="54"/>
      <c r="H495" s="54"/>
      <c r="I495" s="54"/>
    </row>
    <row r="496" spans="7:9" ht="13">
      <c r="G496" s="54"/>
      <c r="H496" s="54"/>
      <c r="I496" s="54"/>
    </row>
    <row r="497" spans="7:9" ht="13">
      <c r="G497" s="54"/>
      <c r="H497" s="54"/>
      <c r="I497" s="54"/>
    </row>
    <row r="498" spans="7:9" ht="13">
      <c r="G498" s="54"/>
      <c r="H498" s="54"/>
      <c r="I498" s="54"/>
    </row>
    <row r="499" spans="7:9" ht="13">
      <c r="G499" s="54"/>
      <c r="H499" s="54"/>
      <c r="I499" s="54"/>
    </row>
    <row r="500" spans="7:9" ht="13">
      <c r="G500" s="54"/>
      <c r="H500" s="54"/>
      <c r="I500" s="54"/>
    </row>
    <row r="501" spans="7:9" ht="13">
      <c r="G501" s="54"/>
      <c r="H501" s="54"/>
      <c r="I501" s="54"/>
    </row>
    <row r="502" spans="7:9" ht="13">
      <c r="G502" s="54"/>
      <c r="H502" s="54"/>
      <c r="I502" s="54"/>
    </row>
    <row r="503" spans="7:9" ht="13">
      <c r="G503" s="54"/>
      <c r="H503" s="54"/>
      <c r="I503" s="54"/>
    </row>
    <row r="504" spans="7:9" ht="13">
      <c r="G504" s="54"/>
      <c r="H504" s="54"/>
      <c r="I504" s="54"/>
    </row>
    <row r="505" spans="7:9" ht="13">
      <c r="G505" s="54"/>
      <c r="H505" s="54"/>
      <c r="I505" s="54"/>
    </row>
    <row r="506" spans="7:9" ht="13">
      <c r="G506" s="54"/>
      <c r="H506" s="54"/>
      <c r="I506" s="54"/>
    </row>
    <row r="507" spans="7:9" ht="13">
      <c r="G507" s="54"/>
      <c r="H507" s="54"/>
      <c r="I507" s="54"/>
    </row>
    <row r="508" spans="7:9" ht="13">
      <c r="G508" s="54"/>
      <c r="H508" s="54"/>
      <c r="I508" s="54"/>
    </row>
    <row r="509" spans="7:9" ht="13">
      <c r="G509" s="54"/>
      <c r="H509" s="54"/>
      <c r="I509" s="54"/>
    </row>
    <row r="510" spans="7:9" ht="13">
      <c r="G510" s="54"/>
      <c r="H510" s="54"/>
      <c r="I510" s="54"/>
    </row>
    <row r="511" spans="7:9" ht="13">
      <c r="G511" s="54"/>
      <c r="H511" s="54"/>
      <c r="I511" s="54"/>
    </row>
    <row r="512" spans="7:9" ht="13">
      <c r="G512" s="54"/>
      <c r="H512" s="54"/>
      <c r="I512" s="54"/>
    </row>
    <row r="513" spans="7:9" ht="13">
      <c r="G513" s="54"/>
      <c r="H513" s="54"/>
      <c r="I513" s="54"/>
    </row>
    <row r="514" spans="7:9" ht="13">
      <c r="G514" s="54"/>
      <c r="H514" s="54"/>
      <c r="I514" s="54"/>
    </row>
    <row r="515" spans="7:9" ht="13">
      <c r="G515" s="54"/>
      <c r="H515" s="54"/>
      <c r="I515" s="54"/>
    </row>
    <row r="516" spans="7:9" ht="13">
      <c r="G516" s="54"/>
      <c r="H516" s="54"/>
      <c r="I516" s="54"/>
    </row>
    <row r="517" spans="7:9" ht="13">
      <c r="G517" s="54"/>
      <c r="H517" s="54"/>
      <c r="I517" s="54"/>
    </row>
    <row r="518" spans="7:9" ht="13">
      <c r="G518" s="54"/>
      <c r="H518" s="54"/>
      <c r="I518" s="54"/>
    </row>
    <row r="519" spans="7:9" ht="13">
      <c r="G519" s="54"/>
      <c r="H519" s="54"/>
      <c r="I519" s="54"/>
    </row>
    <row r="520" spans="7:9" ht="13">
      <c r="G520" s="54"/>
      <c r="H520" s="54"/>
      <c r="I520" s="54"/>
    </row>
    <row r="521" spans="7:9" ht="13">
      <c r="G521" s="54"/>
      <c r="H521" s="54"/>
      <c r="I521" s="54"/>
    </row>
    <row r="522" spans="7:9" ht="13">
      <c r="G522" s="54"/>
      <c r="H522" s="54"/>
      <c r="I522" s="54"/>
    </row>
    <row r="523" spans="7:9" ht="13">
      <c r="G523" s="54"/>
      <c r="H523" s="54"/>
      <c r="I523" s="54"/>
    </row>
    <row r="524" spans="7:9" ht="13">
      <c r="G524" s="54"/>
      <c r="H524" s="54"/>
      <c r="I524" s="54"/>
    </row>
    <row r="525" spans="7:9" ht="13">
      <c r="G525" s="54"/>
      <c r="H525" s="54"/>
      <c r="I525" s="54"/>
    </row>
    <row r="526" spans="7:9" ht="13">
      <c r="G526" s="54"/>
      <c r="H526" s="54"/>
      <c r="I526" s="54"/>
    </row>
    <row r="527" spans="7:9" ht="13">
      <c r="G527" s="54"/>
      <c r="H527" s="54"/>
      <c r="I527" s="54"/>
    </row>
    <row r="528" spans="7:9" ht="13">
      <c r="G528" s="54"/>
      <c r="H528" s="54"/>
      <c r="I528" s="54"/>
    </row>
    <row r="529" spans="7:9" ht="13">
      <c r="G529" s="54"/>
      <c r="H529" s="54"/>
      <c r="I529" s="54"/>
    </row>
    <row r="530" spans="7:9" ht="13">
      <c r="G530" s="54"/>
      <c r="H530" s="54"/>
      <c r="I530" s="54"/>
    </row>
    <row r="531" spans="7:9" ht="13">
      <c r="G531" s="54"/>
      <c r="H531" s="54"/>
      <c r="I531" s="54"/>
    </row>
    <row r="532" spans="7:9" ht="13">
      <c r="G532" s="54"/>
      <c r="H532" s="54"/>
      <c r="I532" s="54"/>
    </row>
    <row r="533" spans="7:9" ht="13">
      <c r="G533" s="54"/>
      <c r="H533" s="54"/>
      <c r="I533" s="54"/>
    </row>
    <row r="534" spans="7:9" ht="13">
      <c r="G534" s="54"/>
      <c r="H534" s="54"/>
      <c r="I534" s="54"/>
    </row>
    <row r="535" spans="7:9" ht="13">
      <c r="G535" s="54"/>
      <c r="H535" s="54"/>
      <c r="I535" s="54"/>
    </row>
    <row r="536" spans="7:9" ht="13">
      <c r="G536" s="54"/>
      <c r="H536" s="54"/>
      <c r="I536" s="54"/>
    </row>
    <row r="537" spans="7:9" ht="13">
      <c r="G537" s="54"/>
      <c r="H537" s="54"/>
      <c r="I537" s="54"/>
    </row>
    <row r="538" spans="7:9" ht="13">
      <c r="G538" s="54"/>
      <c r="H538" s="54"/>
      <c r="I538" s="54"/>
    </row>
    <row r="539" spans="7:9" ht="13">
      <c r="G539" s="54"/>
      <c r="H539" s="54"/>
      <c r="I539" s="54"/>
    </row>
    <row r="540" spans="7:9" ht="13">
      <c r="G540" s="54"/>
      <c r="H540" s="54"/>
      <c r="I540" s="54"/>
    </row>
    <row r="541" spans="7:9" ht="13">
      <c r="G541" s="54"/>
      <c r="H541" s="54"/>
      <c r="I541" s="54"/>
    </row>
    <row r="542" spans="7:9" ht="13">
      <c r="G542" s="54"/>
      <c r="H542" s="54"/>
      <c r="I542" s="54"/>
    </row>
    <row r="543" spans="7:9" ht="13">
      <c r="G543" s="54"/>
      <c r="H543" s="54"/>
      <c r="I543" s="54"/>
    </row>
    <row r="544" spans="7:9" ht="13">
      <c r="G544" s="54"/>
      <c r="H544" s="54"/>
      <c r="I544" s="54"/>
    </row>
    <row r="545" spans="7:9" ht="13">
      <c r="G545" s="54"/>
      <c r="H545" s="54"/>
      <c r="I545" s="54"/>
    </row>
    <row r="546" spans="7:9" ht="13">
      <c r="G546" s="54"/>
      <c r="H546" s="54"/>
      <c r="I546" s="54"/>
    </row>
    <row r="547" spans="7:9" ht="13">
      <c r="G547" s="54"/>
      <c r="H547" s="54"/>
      <c r="I547" s="54"/>
    </row>
    <row r="548" spans="7:9" ht="13">
      <c r="G548" s="54"/>
      <c r="H548" s="54"/>
      <c r="I548" s="54"/>
    </row>
    <row r="549" spans="7:9" ht="13">
      <c r="G549" s="54"/>
      <c r="H549" s="54"/>
      <c r="I549" s="54"/>
    </row>
    <row r="550" spans="7:9" ht="13">
      <c r="G550" s="54"/>
      <c r="H550" s="54"/>
      <c r="I550" s="54"/>
    </row>
    <row r="551" spans="7:9" ht="13">
      <c r="G551" s="54"/>
      <c r="H551" s="54"/>
      <c r="I551" s="54"/>
    </row>
    <row r="552" spans="7:9" ht="13">
      <c r="G552" s="54"/>
      <c r="H552" s="54"/>
      <c r="I552" s="54"/>
    </row>
    <row r="553" spans="7:9" ht="13">
      <c r="G553" s="54"/>
      <c r="H553" s="54"/>
      <c r="I553" s="54"/>
    </row>
    <row r="554" spans="7:9" ht="13">
      <c r="G554" s="54"/>
      <c r="H554" s="54"/>
      <c r="I554" s="54"/>
    </row>
    <row r="555" spans="7:9" ht="13">
      <c r="G555" s="54"/>
      <c r="H555" s="54"/>
      <c r="I555" s="54"/>
    </row>
    <row r="556" spans="7:9" ht="13">
      <c r="G556" s="54"/>
      <c r="H556" s="54"/>
      <c r="I556" s="54"/>
    </row>
    <row r="557" spans="7:9" ht="13">
      <c r="G557" s="54"/>
      <c r="H557" s="54"/>
      <c r="I557" s="54"/>
    </row>
    <row r="558" spans="7:9" ht="13">
      <c r="G558" s="54"/>
      <c r="H558" s="54"/>
      <c r="I558" s="54"/>
    </row>
    <row r="559" spans="7:9" ht="13">
      <c r="G559" s="54"/>
      <c r="H559" s="54"/>
      <c r="I559" s="54"/>
    </row>
    <row r="560" spans="7:9" ht="13">
      <c r="G560" s="54"/>
      <c r="H560" s="54"/>
      <c r="I560" s="54"/>
    </row>
    <row r="561" spans="7:9" ht="13">
      <c r="G561" s="54"/>
      <c r="H561" s="54"/>
      <c r="I561" s="54"/>
    </row>
    <row r="562" spans="7:9" ht="13">
      <c r="G562" s="54"/>
      <c r="H562" s="54"/>
      <c r="I562" s="54"/>
    </row>
    <row r="563" spans="7:9" ht="13">
      <c r="G563" s="54"/>
      <c r="H563" s="54"/>
      <c r="I563" s="54"/>
    </row>
    <row r="564" spans="7:9" ht="13">
      <c r="G564" s="54"/>
      <c r="H564" s="54"/>
      <c r="I564" s="54"/>
    </row>
    <row r="565" spans="7:9" ht="13">
      <c r="G565" s="54"/>
      <c r="H565" s="54"/>
      <c r="I565" s="54"/>
    </row>
    <row r="566" spans="7:9" ht="13">
      <c r="G566" s="54"/>
      <c r="H566" s="54"/>
      <c r="I566" s="54"/>
    </row>
    <row r="567" spans="7:9" ht="13">
      <c r="G567" s="54"/>
      <c r="H567" s="54"/>
      <c r="I567" s="54"/>
    </row>
    <row r="568" spans="7:9" ht="13">
      <c r="G568" s="54"/>
      <c r="H568" s="54"/>
      <c r="I568" s="54"/>
    </row>
    <row r="569" spans="7:9" ht="13">
      <c r="G569" s="54"/>
      <c r="H569" s="54"/>
      <c r="I569" s="54"/>
    </row>
    <row r="570" spans="7:9" ht="13">
      <c r="G570" s="54"/>
      <c r="H570" s="54"/>
      <c r="I570" s="54"/>
    </row>
    <row r="571" spans="7:9" ht="13">
      <c r="G571" s="54"/>
      <c r="H571" s="54"/>
      <c r="I571" s="54"/>
    </row>
    <row r="572" spans="7:9" ht="13">
      <c r="G572" s="54"/>
      <c r="H572" s="54"/>
      <c r="I572" s="54"/>
    </row>
    <row r="573" spans="7:9" ht="13">
      <c r="G573" s="54"/>
      <c r="H573" s="54"/>
      <c r="I573" s="54"/>
    </row>
    <row r="574" spans="7:9" ht="13">
      <c r="G574" s="54"/>
      <c r="H574" s="54"/>
      <c r="I574" s="54"/>
    </row>
    <row r="575" spans="7:9" ht="13">
      <c r="G575" s="54"/>
      <c r="H575" s="54"/>
      <c r="I575" s="54"/>
    </row>
    <row r="576" spans="7:9" ht="13">
      <c r="G576" s="54"/>
      <c r="H576" s="54"/>
      <c r="I576" s="54"/>
    </row>
    <row r="577" spans="7:9" ht="13">
      <c r="G577" s="54"/>
      <c r="H577" s="54"/>
      <c r="I577" s="54"/>
    </row>
    <row r="578" spans="7:9" ht="13">
      <c r="G578" s="54"/>
      <c r="H578" s="54"/>
      <c r="I578" s="54"/>
    </row>
    <row r="579" spans="7:9" ht="13">
      <c r="G579" s="54"/>
      <c r="H579" s="54"/>
      <c r="I579" s="54"/>
    </row>
    <row r="580" spans="7:9" ht="13">
      <c r="G580" s="54"/>
      <c r="H580" s="54"/>
      <c r="I580" s="54"/>
    </row>
    <row r="581" spans="7:9" ht="13">
      <c r="G581" s="54"/>
      <c r="H581" s="54"/>
      <c r="I581" s="54"/>
    </row>
    <row r="582" spans="7:9" ht="13">
      <c r="G582" s="54"/>
      <c r="H582" s="54"/>
      <c r="I582" s="54"/>
    </row>
    <row r="583" spans="7:9" ht="13">
      <c r="G583" s="54"/>
      <c r="H583" s="54"/>
      <c r="I583" s="54"/>
    </row>
    <row r="584" spans="7:9" ht="13">
      <c r="G584" s="54"/>
      <c r="H584" s="54"/>
      <c r="I584" s="54"/>
    </row>
    <row r="585" spans="7:9" ht="13">
      <c r="G585" s="54"/>
      <c r="H585" s="54"/>
      <c r="I585" s="54"/>
    </row>
    <row r="586" spans="7:9" ht="13">
      <c r="G586" s="54"/>
      <c r="H586" s="54"/>
      <c r="I586" s="54"/>
    </row>
    <row r="587" spans="7:9" ht="13">
      <c r="G587" s="54"/>
      <c r="H587" s="54"/>
      <c r="I587" s="54"/>
    </row>
    <row r="588" spans="7:9" ht="13">
      <c r="G588" s="54"/>
      <c r="H588" s="54"/>
      <c r="I588" s="54"/>
    </row>
    <row r="589" spans="7:9" ht="13">
      <c r="G589" s="54"/>
      <c r="H589" s="54"/>
      <c r="I589" s="54"/>
    </row>
    <row r="590" spans="7:9" ht="13">
      <c r="G590" s="54"/>
      <c r="H590" s="54"/>
      <c r="I590" s="54"/>
    </row>
    <row r="591" spans="7:9" ht="13">
      <c r="G591" s="54"/>
      <c r="H591" s="54"/>
      <c r="I591" s="54"/>
    </row>
    <row r="592" spans="7:9" ht="13">
      <c r="G592" s="54"/>
      <c r="H592" s="54"/>
      <c r="I592" s="54"/>
    </row>
    <row r="593" spans="7:9" ht="13">
      <c r="G593" s="54"/>
      <c r="H593" s="54"/>
      <c r="I593" s="54"/>
    </row>
    <row r="594" spans="7:9" ht="13">
      <c r="G594" s="54"/>
      <c r="H594" s="54"/>
      <c r="I594" s="54"/>
    </row>
    <row r="595" spans="7:9" ht="13">
      <c r="G595" s="54"/>
      <c r="H595" s="54"/>
      <c r="I595" s="54"/>
    </row>
    <row r="596" spans="7:9" ht="13">
      <c r="G596" s="54"/>
      <c r="H596" s="54"/>
      <c r="I596" s="54"/>
    </row>
    <row r="597" spans="7:9" ht="13">
      <c r="G597" s="54"/>
      <c r="H597" s="54"/>
      <c r="I597" s="54"/>
    </row>
    <row r="598" spans="7:9" ht="13">
      <c r="G598" s="54"/>
      <c r="H598" s="54"/>
      <c r="I598" s="54"/>
    </row>
    <row r="599" spans="7:9" ht="13">
      <c r="G599" s="54"/>
      <c r="H599" s="54"/>
      <c r="I599" s="54"/>
    </row>
    <row r="600" spans="7:9" ht="13">
      <c r="G600" s="54"/>
      <c r="H600" s="54"/>
      <c r="I600" s="54"/>
    </row>
    <row r="601" spans="7:9" ht="13">
      <c r="G601" s="54"/>
      <c r="H601" s="54"/>
      <c r="I601" s="54"/>
    </row>
    <row r="602" spans="7:9" ht="13">
      <c r="G602" s="54"/>
      <c r="H602" s="54"/>
      <c r="I602" s="54"/>
    </row>
    <row r="603" spans="7:9" ht="13">
      <c r="G603" s="54"/>
      <c r="H603" s="54"/>
      <c r="I603" s="54"/>
    </row>
    <row r="604" spans="7:9" ht="13">
      <c r="G604" s="54"/>
      <c r="H604" s="54"/>
      <c r="I604" s="54"/>
    </row>
    <row r="605" spans="7:9" ht="13">
      <c r="G605" s="54"/>
      <c r="H605" s="54"/>
      <c r="I605" s="54"/>
    </row>
    <row r="606" spans="7:9" ht="13">
      <c r="G606" s="54"/>
      <c r="H606" s="54"/>
      <c r="I606" s="54"/>
    </row>
    <row r="607" spans="7:9" ht="13">
      <c r="G607" s="54"/>
      <c r="H607" s="54"/>
      <c r="I607" s="54"/>
    </row>
    <row r="608" spans="7:9" ht="13">
      <c r="G608" s="54"/>
      <c r="H608" s="54"/>
      <c r="I608" s="54"/>
    </row>
    <row r="609" spans="7:9" ht="13">
      <c r="G609" s="54"/>
      <c r="H609" s="54"/>
      <c r="I609" s="54"/>
    </row>
    <row r="610" spans="7:9" ht="13">
      <c r="G610" s="54"/>
      <c r="H610" s="54"/>
      <c r="I610" s="54"/>
    </row>
    <row r="611" spans="7:9" ht="13">
      <c r="G611" s="54"/>
      <c r="H611" s="54"/>
      <c r="I611" s="54"/>
    </row>
    <row r="612" spans="7:9" ht="13">
      <c r="G612" s="54"/>
      <c r="H612" s="54"/>
      <c r="I612" s="54"/>
    </row>
    <row r="613" spans="7:9" ht="13">
      <c r="G613" s="54"/>
      <c r="H613" s="54"/>
      <c r="I613" s="54"/>
    </row>
    <row r="614" spans="7:9" ht="13">
      <c r="G614" s="54"/>
      <c r="H614" s="54"/>
      <c r="I614" s="54"/>
    </row>
    <row r="615" spans="7:9" ht="13">
      <c r="G615" s="54"/>
      <c r="H615" s="54"/>
      <c r="I615" s="54"/>
    </row>
    <row r="616" spans="7:9" ht="13">
      <c r="G616" s="54"/>
      <c r="H616" s="54"/>
      <c r="I616" s="54"/>
    </row>
    <row r="617" spans="7:9" ht="13">
      <c r="G617" s="54"/>
      <c r="H617" s="54"/>
      <c r="I617" s="54"/>
    </row>
    <row r="618" spans="7:9" ht="13">
      <c r="G618" s="54"/>
      <c r="H618" s="54"/>
      <c r="I618" s="54"/>
    </row>
    <row r="619" spans="7:9" ht="13">
      <c r="G619" s="54"/>
      <c r="H619" s="54"/>
      <c r="I619" s="54"/>
    </row>
    <row r="620" spans="7:9" ht="13">
      <c r="G620" s="54"/>
      <c r="H620" s="54"/>
      <c r="I620" s="54"/>
    </row>
    <row r="621" spans="7:9" ht="13">
      <c r="G621" s="54"/>
      <c r="H621" s="54"/>
      <c r="I621" s="54"/>
    </row>
    <row r="622" spans="7:9" ht="13">
      <c r="G622" s="54"/>
      <c r="H622" s="54"/>
      <c r="I622" s="54"/>
    </row>
    <row r="623" spans="7:9" ht="13">
      <c r="G623" s="54"/>
      <c r="H623" s="54"/>
      <c r="I623" s="54"/>
    </row>
    <row r="624" spans="7:9" ht="13">
      <c r="G624" s="54"/>
      <c r="H624" s="54"/>
      <c r="I624" s="54"/>
    </row>
    <row r="625" spans="7:9" ht="13">
      <c r="G625" s="54"/>
      <c r="H625" s="54"/>
      <c r="I625" s="54"/>
    </row>
    <row r="626" spans="7:9" ht="13">
      <c r="G626" s="54"/>
      <c r="H626" s="54"/>
      <c r="I626" s="54"/>
    </row>
    <row r="627" spans="7:9" ht="13">
      <c r="G627" s="54"/>
      <c r="H627" s="54"/>
      <c r="I627" s="54"/>
    </row>
    <row r="628" spans="7:9" ht="13">
      <c r="G628" s="54"/>
      <c r="H628" s="54"/>
      <c r="I628" s="54"/>
    </row>
    <row r="629" spans="7:9" ht="13">
      <c r="G629" s="54"/>
      <c r="H629" s="54"/>
      <c r="I629" s="54"/>
    </row>
    <row r="630" spans="7:9" ht="13">
      <c r="G630" s="54"/>
      <c r="H630" s="54"/>
      <c r="I630" s="54"/>
    </row>
    <row r="631" spans="7:9" ht="13">
      <c r="G631" s="54"/>
      <c r="H631" s="54"/>
      <c r="I631" s="54"/>
    </row>
    <row r="632" spans="7:9" ht="13">
      <c r="G632" s="54"/>
      <c r="H632" s="54"/>
      <c r="I632" s="54"/>
    </row>
    <row r="633" spans="7:9" ht="13">
      <c r="G633" s="54"/>
      <c r="H633" s="54"/>
      <c r="I633" s="54"/>
    </row>
    <row r="634" spans="7:9" ht="13">
      <c r="G634" s="54"/>
      <c r="H634" s="54"/>
      <c r="I634" s="54"/>
    </row>
    <row r="635" spans="7:9" ht="13">
      <c r="G635" s="54"/>
      <c r="H635" s="54"/>
      <c r="I635" s="54"/>
    </row>
    <row r="636" spans="7:9" ht="13">
      <c r="G636" s="54"/>
      <c r="H636" s="54"/>
      <c r="I636" s="54"/>
    </row>
    <row r="637" spans="7:9" ht="13">
      <c r="G637" s="54"/>
      <c r="H637" s="54"/>
      <c r="I637" s="54"/>
    </row>
    <row r="638" spans="7:9" ht="13">
      <c r="G638" s="54"/>
      <c r="H638" s="54"/>
      <c r="I638" s="54"/>
    </row>
    <row r="639" spans="7:9" ht="13">
      <c r="G639" s="54"/>
      <c r="H639" s="54"/>
      <c r="I639" s="54"/>
    </row>
    <row r="640" spans="7:9" ht="13">
      <c r="G640" s="54"/>
      <c r="H640" s="54"/>
      <c r="I640" s="54"/>
    </row>
    <row r="641" spans="7:9" ht="13">
      <c r="G641" s="54"/>
      <c r="H641" s="54"/>
      <c r="I641" s="54"/>
    </row>
    <row r="642" spans="7:9" ht="13">
      <c r="G642" s="54"/>
      <c r="H642" s="54"/>
      <c r="I642" s="54"/>
    </row>
    <row r="643" spans="7:9" ht="13">
      <c r="G643" s="54"/>
      <c r="H643" s="54"/>
      <c r="I643" s="54"/>
    </row>
    <row r="644" spans="7:9" ht="13">
      <c r="G644" s="54"/>
      <c r="H644" s="54"/>
      <c r="I644" s="54"/>
    </row>
    <row r="645" spans="7:9" ht="13">
      <c r="G645" s="54"/>
      <c r="H645" s="54"/>
      <c r="I645" s="54"/>
    </row>
    <row r="646" spans="7:9" ht="13">
      <c r="G646" s="54"/>
      <c r="H646" s="54"/>
      <c r="I646" s="54"/>
    </row>
    <row r="647" spans="7:9" ht="13">
      <c r="G647" s="54"/>
      <c r="H647" s="54"/>
      <c r="I647" s="54"/>
    </row>
    <row r="648" spans="7:9" ht="13">
      <c r="G648" s="54"/>
      <c r="H648" s="54"/>
      <c r="I648" s="54"/>
    </row>
    <row r="649" spans="7:9" ht="13">
      <c r="G649" s="54"/>
      <c r="H649" s="54"/>
      <c r="I649" s="54"/>
    </row>
    <row r="650" spans="7:9" ht="13">
      <c r="G650" s="54"/>
      <c r="H650" s="54"/>
      <c r="I650" s="54"/>
    </row>
    <row r="651" spans="7:9" ht="13">
      <c r="G651" s="54"/>
      <c r="H651" s="54"/>
      <c r="I651" s="54"/>
    </row>
    <row r="652" spans="7:9" ht="13">
      <c r="G652" s="54"/>
      <c r="H652" s="54"/>
      <c r="I652" s="54"/>
    </row>
    <row r="653" spans="7:9" ht="13">
      <c r="G653" s="54"/>
      <c r="H653" s="54"/>
      <c r="I653" s="54"/>
    </row>
    <row r="654" spans="7:9" ht="13">
      <c r="G654" s="54"/>
      <c r="H654" s="54"/>
      <c r="I654" s="54"/>
    </row>
    <row r="655" spans="7:9" ht="13">
      <c r="G655" s="54"/>
      <c r="H655" s="54"/>
      <c r="I655" s="54"/>
    </row>
    <row r="656" spans="7:9" ht="13">
      <c r="G656" s="54"/>
      <c r="H656" s="54"/>
      <c r="I656" s="54"/>
    </row>
    <row r="657" spans="7:9" ht="13">
      <c r="G657" s="54"/>
      <c r="H657" s="54"/>
      <c r="I657" s="54"/>
    </row>
    <row r="658" spans="7:9" ht="13">
      <c r="G658" s="54"/>
      <c r="H658" s="54"/>
      <c r="I658" s="54"/>
    </row>
    <row r="659" spans="7:9" ht="13">
      <c r="G659" s="54"/>
      <c r="H659" s="54"/>
      <c r="I659" s="54"/>
    </row>
    <row r="660" spans="7:9" ht="13">
      <c r="G660" s="54"/>
      <c r="H660" s="54"/>
      <c r="I660" s="54"/>
    </row>
    <row r="661" spans="7:9" ht="13">
      <c r="G661" s="54"/>
      <c r="H661" s="54"/>
      <c r="I661" s="54"/>
    </row>
    <row r="662" spans="7:9" ht="13">
      <c r="G662" s="54"/>
      <c r="H662" s="54"/>
      <c r="I662" s="54"/>
    </row>
    <row r="663" spans="7:9" ht="13">
      <c r="G663" s="54"/>
      <c r="H663" s="54"/>
      <c r="I663" s="54"/>
    </row>
    <row r="664" spans="7:9" ht="13">
      <c r="G664" s="54"/>
      <c r="H664" s="54"/>
      <c r="I664" s="54"/>
    </row>
    <row r="665" spans="7:9" ht="13">
      <c r="G665" s="54"/>
      <c r="H665" s="54"/>
      <c r="I665" s="54"/>
    </row>
    <row r="666" spans="7:9" ht="13">
      <c r="G666" s="54"/>
      <c r="H666" s="54"/>
      <c r="I666" s="54"/>
    </row>
    <row r="667" spans="7:9" ht="13">
      <c r="G667" s="54"/>
      <c r="H667" s="54"/>
      <c r="I667" s="54"/>
    </row>
    <row r="668" spans="7:9" ht="13">
      <c r="G668" s="54"/>
      <c r="H668" s="54"/>
      <c r="I668" s="54"/>
    </row>
    <row r="669" spans="7:9" ht="13">
      <c r="G669" s="54"/>
      <c r="H669" s="54"/>
      <c r="I669" s="54"/>
    </row>
    <row r="670" spans="7:9" ht="13">
      <c r="G670" s="54"/>
      <c r="H670" s="54"/>
      <c r="I670" s="54"/>
    </row>
    <row r="671" spans="7:9" ht="13">
      <c r="G671" s="54"/>
      <c r="H671" s="54"/>
      <c r="I671" s="54"/>
    </row>
    <row r="672" spans="7:9" ht="13">
      <c r="G672" s="54"/>
      <c r="H672" s="54"/>
      <c r="I672" s="54"/>
    </row>
    <row r="673" spans="7:9" ht="13">
      <c r="G673" s="54"/>
      <c r="H673" s="54"/>
      <c r="I673" s="54"/>
    </row>
    <row r="674" spans="7:9" ht="13">
      <c r="G674" s="54"/>
      <c r="H674" s="54"/>
      <c r="I674" s="54"/>
    </row>
    <row r="675" spans="7:9" ht="13">
      <c r="G675" s="54"/>
      <c r="H675" s="54"/>
      <c r="I675" s="54"/>
    </row>
    <row r="676" spans="7:9" ht="13">
      <c r="G676" s="54"/>
      <c r="H676" s="54"/>
      <c r="I676" s="54"/>
    </row>
    <row r="677" spans="7:9" ht="13">
      <c r="G677" s="54"/>
      <c r="H677" s="54"/>
      <c r="I677" s="54"/>
    </row>
    <row r="678" spans="7:9" ht="13">
      <c r="G678" s="54"/>
      <c r="H678" s="54"/>
      <c r="I678" s="54"/>
    </row>
    <row r="679" spans="7:9" ht="13">
      <c r="G679" s="54"/>
      <c r="H679" s="54"/>
      <c r="I679" s="54"/>
    </row>
    <row r="680" spans="7:9" ht="13">
      <c r="G680" s="54"/>
      <c r="H680" s="54"/>
      <c r="I680" s="54"/>
    </row>
    <row r="681" spans="7:9" ht="13">
      <c r="G681" s="54"/>
      <c r="H681" s="54"/>
      <c r="I681" s="54"/>
    </row>
    <row r="682" spans="7:9" ht="13">
      <c r="G682" s="54"/>
      <c r="H682" s="54"/>
      <c r="I682" s="54"/>
    </row>
    <row r="683" spans="7:9" ht="13">
      <c r="G683" s="54"/>
      <c r="H683" s="54"/>
      <c r="I683" s="54"/>
    </row>
    <row r="684" spans="7:9" ht="13">
      <c r="G684" s="54"/>
      <c r="H684" s="54"/>
      <c r="I684" s="54"/>
    </row>
    <row r="685" spans="7:9" ht="13">
      <c r="G685" s="54"/>
      <c r="H685" s="54"/>
      <c r="I685" s="54"/>
    </row>
    <row r="686" spans="7:9" ht="13">
      <c r="G686" s="54"/>
      <c r="H686" s="54"/>
      <c r="I686" s="54"/>
    </row>
    <row r="687" spans="7:9" ht="13">
      <c r="G687" s="54"/>
      <c r="H687" s="54"/>
      <c r="I687" s="54"/>
    </row>
    <row r="688" spans="7:9" ht="13">
      <c r="G688" s="54"/>
      <c r="H688" s="54"/>
      <c r="I688" s="54"/>
    </row>
    <row r="689" spans="7:9" ht="13">
      <c r="G689" s="54"/>
      <c r="H689" s="54"/>
      <c r="I689" s="54"/>
    </row>
    <row r="690" spans="7:9" ht="13">
      <c r="G690" s="54"/>
      <c r="H690" s="54"/>
      <c r="I690" s="54"/>
    </row>
    <row r="691" spans="7:9" ht="13">
      <c r="G691" s="54"/>
      <c r="H691" s="54"/>
      <c r="I691" s="54"/>
    </row>
    <row r="692" spans="7:9" ht="13">
      <c r="G692" s="54"/>
      <c r="H692" s="54"/>
      <c r="I692" s="54"/>
    </row>
    <row r="693" spans="7:9" ht="13">
      <c r="G693" s="54"/>
      <c r="H693" s="54"/>
      <c r="I693" s="54"/>
    </row>
    <row r="694" spans="7:9" ht="13">
      <c r="G694" s="54"/>
      <c r="H694" s="54"/>
      <c r="I694" s="54"/>
    </row>
    <row r="695" spans="7:9" ht="13">
      <c r="G695" s="54"/>
      <c r="H695" s="54"/>
      <c r="I695" s="54"/>
    </row>
    <row r="696" spans="7:9" ht="13">
      <c r="G696" s="54"/>
      <c r="H696" s="54"/>
      <c r="I696" s="54"/>
    </row>
    <row r="697" spans="7:9" ht="13">
      <c r="G697" s="54"/>
      <c r="H697" s="54"/>
      <c r="I697" s="54"/>
    </row>
    <row r="698" spans="7:9" ht="13">
      <c r="G698" s="54"/>
      <c r="H698" s="54"/>
      <c r="I698" s="54"/>
    </row>
    <row r="699" spans="7:9" ht="13">
      <c r="G699" s="54"/>
      <c r="H699" s="54"/>
      <c r="I699" s="54"/>
    </row>
    <row r="700" spans="7:9" ht="13">
      <c r="G700" s="54"/>
      <c r="H700" s="54"/>
      <c r="I700" s="54"/>
    </row>
    <row r="701" spans="7:9" ht="13">
      <c r="G701" s="54"/>
      <c r="H701" s="54"/>
      <c r="I701" s="54"/>
    </row>
    <row r="702" spans="7:9" ht="13">
      <c r="G702" s="54"/>
      <c r="H702" s="54"/>
      <c r="I702" s="54"/>
    </row>
    <row r="703" spans="7:9" ht="13">
      <c r="G703" s="54"/>
      <c r="H703" s="54"/>
      <c r="I703" s="54"/>
    </row>
    <row r="704" spans="7:9" ht="13">
      <c r="G704" s="54"/>
      <c r="H704" s="54"/>
      <c r="I704" s="54"/>
    </row>
    <row r="705" spans="7:9" ht="13">
      <c r="G705" s="54"/>
      <c r="H705" s="54"/>
      <c r="I705" s="54"/>
    </row>
    <row r="706" spans="7:9" ht="13">
      <c r="G706" s="54"/>
      <c r="H706" s="54"/>
      <c r="I706" s="54"/>
    </row>
    <row r="707" spans="7:9" ht="13">
      <c r="G707" s="54"/>
      <c r="H707" s="54"/>
      <c r="I707" s="54"/>
    </row>
    <row r="708" spans="7:9" ht="13">
      <c r="G708" s="54"/>
      <c r="H708" s="54"/>
      <c r="I708" s="54"/>
    </row>
    <row r="709" spans="7:9" ht="13">
      <c r="G709" s="54"/>
      <c r="H709" s="54"/>
      <c r="I709" s="54"/>
    </row>
    <row r="710" spans="7:9" ht="13">
      <c r="G710" s="54"/>
      <c r="H710" s="54"/>
      <c r="I710" s="54"/>
    </row>
    <row r="711" spans="7:9" ht="13">
      <c r="G711" s="54"/>
      <c r="H711" s="54"/>
      <c r="I711" s="54"/>
    </row>
    <row r="712" spans="7:9" ht="13">
      <c r="G712" s="54"/>
      <c r="H712" s="54"/>
      <c r="I712" s="54"/>
    </row>
    <row r="713" spans="7:9" ht="13">
      <c r="G713" s="54"/>
      <c r="H713" s="54"/>
      <c r="I713" s="54"/>
    </row>
    <row r="714" spans="7:9" ht="13">
      <c r="G714" s="54"/>
      <c r="H714" s="54"/>
      <c r="I714" s="54"/>
    </row>
    <row r="715" spans="7:9" ht="13">
      <c r="G715" s="54"/>
      <c r="H715" s="54"/>
      <c r="I715" s="54"/>
    </row>
    <row r="716" spans="7:9" ht="13">
      <c r="G716" s="54"/>
      <c r="H716" s="54"/>
      <c r="I716" s="54"/>
    </row>
    <row r="717" spans="7:9" ht="13">
      <c r="G717" s="54"/>
      <c r="H717" s="54"/>
      <c r="I717" s="54"/>
    </row>
    <row r="718" spans="7:9" ht="13">
      <c r="G718" s="54"/>
      <c r="H718" s="54"/>
      <c r="I718" s="54"/>
    </row>
    <row r="719" spans="7:9" ht="13">
      <c r="G719" s="54"/>
      <c r="H719" s="54"/>
      <c r="I719" s="54"/>
    </row>
    <row r="720" spans="7:9" ht="13">
      <c r="G720" s="54"/>
      <c r="H720" s="54"/>
      <c r="I720" s="54"/>
    </row>
    <row r="721" spans="7:9" ht="13">
      <c r="G721" s="54"/>
      <c r="H721" s="54"/>
      <c r="I721" s="54"/>
    </row>
    <row r="722" spans="7:9" ht="13">
      <c r="G722" s="54"/>
      <c r="H722" s="54"/>
      <c r="I722" s="54"/>
    </row>
    <row r="723" spans="7:9" ht="13">
      <c r="G723" s="54"/>
      <c r="H723" s="54"/>
      <c r="I723" s="54"/>
    </row>
    <row r="724" spans="7:9" ht="13">
      <c r="G724" s="54"/>
      <c r="H724" s="54"/>
      <c r="I724" s="54"/>
    </row>
    <row r="725" spans="7:9" ht="13">
      <c r="G725" s="54"/>
      <c r="H725" s="54"/>
      <c r="I725" s="54"/>
    </row>
    <row r="726" spans="7:9" ht="13">
      <c r="G726" s="54"/>
      <c r="H726" s="54"/>
      <c r="I726" s="54"/>
    </row>
    <row r="727" spans="7:9" ht="13">
      <c r="G727" s="54"/>
      <c r="H727" s="54"/>
      <c r="I727" s="54"/>
    </row>
    <row r="728" spans="7:9" ht="13">
      <c r="G728" s="54"/>
      <c r="H728" s="54"/>
      <c r="I728" s="54"/>
    </row>
    <row r="729" spans="7:9" ht="13">
      <c r="G729" s="54"/>
      <c r="H729" s="54"/>
      <c r="I729" s="54"/>
    </row>
    <row r="730" spans="7:9" ht="13">
      <c r="G730" s="54"/>
      <c r="H730" s="54"/>
      <c r="I730" s="54"/>
    </row>
    <row r="731" spans="7:9" ht="13">
      <c r="G731" s="54"/>
      <c r="H731" s="54"/>
      <c r="I731" s="54"/>
    </row>
    <row r="732" spans="7:9" ht="13">
      <c r="G732" s="54"/>
      <c r="H732" s="54"/>
      <c r="I732" s="54"/>
    </row>
    <row r="733" spans="7:9" ht="13">
      <c r="G733" s="54"/>
      <c r="H733" s="54"/>
      <c r="I733" s="54"/>
    </row>
    <row r="734" spans="7:9" ht="13">
      <c r="G734" s="54"/>
      <c r="H734" s="54"/>
      <c r="I734" s="54"/>
    </row>
    <row r="735" spans="7:9" ht="13">
      <c r="G735" s="54"/>
      <c r="H735" s="54"/>
      <c r="I735" s="54"/>
    </row>
    <row r="736" spans="7:9" ht="13">
      <c r="G736" s="54"/>
      <c r="H736" s="54"/>
      <c r="I736" s="54"/>
    </row>
    <row r="737" spans="7:9" ht="13">
      <c r="G737" s="54"/>
      <c r="H737" s="54"/>
      <c r="I737" s="54"/>
    </row>
    <row r="738" spans="7:9" ht="13">
      <c r="G738" s="54"/>
      <c r="H738" s="54"/>
      <c r="I738" s="54"/>
    </row>
    <row r="739" spans="7:9" ht="13">
      <c r="G739" s="54"/>
      <c r="H739" s="54"/>
      <c r="I739" s="54"/>
    </row>
    <row r="740" spans="7:9" ht="13">
      <c r="G740" s="54"/>
      <c r="H740" s="54"/>
      <c r="I740" s="54"/>
    </row>
    <row r="741" spans="7:9" ht="13">
      <c r="G741" s="54"/>
      <c r="H741" s="54"/>
      <c r="I741" s="54"/>
    </row>
    <row r="742" spans="7:9" ht="13">
      <c r="G742" s="54"/>
      <c r="H742" s="54"/>
      <c r="I742" s="54"/>
    </row>
    <row r="743" spans="7:9" ht="13">
      <c r="G743" s="54"/>
      <c r="H743" s="54"/>
      <c r="I743" s="54"/>
    </row>
    <row r="744" spans="7:9" ht="13">
      <c r="G744" s="54"/>
      <c r="H744" s="54"/>
      <c r="I744" s="54"/>
    </row>
    <row r="745" spans="7:9" ht="13">
      <c r="G745" s="54"/>
      <c r="H745" s="54"/>
      <c r="I745" s="54"/>
    </row>
    <row r="746" spans="7:9" ht="13">
      <c r="G746" s="54"/>
      <c r="H746" s="54"/>
      <c r="I746" s="54"/>
    </row>
    <row r="747" spans="7:9" ht="13">
      <c r="G747" s="54"/>
      <c r="H747" s="54"/>
      <c r="I747" s="54"/>
    </row>
    <row r="748" spans="7:9" ht="13">
      <c r="G748" s="54"/>
      <c r="H748" s="54"/>
      <c r="I748" s="54"/>
    </row>
    <row r="749" spans="7:9" ht="13">
      <c r="G749" s="54"/>
      <c r="H749" s="54"/>
      <c r="I749" s="54"/>
    </row>
    <row r="750" spans="7:9" ht="13">
      <c r="G750" s="54"/>
      <c r="H750" s="54"/>
      <c r="I750" s="54"/>
    </row>
    <row r="751" spans="7:9" ht="13">
      <c r="G751" s="54"/>
      <c r="H751" s="54"/>
      <c r="I751" s="54"/>
    </row>
    <row r="752" spans="7:9" ht="13">
      <c r="G752" s="54"/>
      <c r="H752" s="54"/>
      <c r="I752" s="54"/>
    </row>
    <row r="753" spans="7:9" ht="13">
      <c r="G753" s="54"/>
      <c r="H753" s="54"/>
      <c r="I753" s="54"/>
    </row>
    <row r="754" spans="7:9" ht="13">
      <c r="G754" s="54"/>
      <c r="H754" s="54"/>
      <c r="I754" s="54"/>
    </row>
    <row r="755" spans="7:9" ht="13">
      <c r="G755" s="54"/>
      <c r="H755" s="54"/>
      <c r="I755" s="54"/>
    </row>
    <row r="756" spans="7:9" ht="13">
      <c r="G756" s="54"/>
      <c r="H756" s="54"/>
      <c r="I756" s="54"/>
    </row>
    <row r="757" spans="7:9" ht="13">
      <c r="G757" s="54"/>
      <c r="H757" s="54"/>
      <c r="I757" s="54"/>
    </row>
    <row r="758" spans="7:9" ht="13">
      <c r="G758" s="54"/>
      <c r="H758" s="54"/>
      <c r="I758" s="54"/>
    </row>
    <row r="759" spans="7:9" ht="13">
      <c r="G759" s="54"/>
      <c r="H759" s="54"/>
      <c r="I759" s="54"/>
    </row>
    <row r="760" spans="7:9" ht="13">
      <c r="G760" s="54"/>
      <c r="H760" s="54"/>
      <c r="I760" s="54"/>
    </row>
    <row r="761" spans="7:9" ht="13">
      <c r="G761" s="54"/>
      <c r="H761" s="54"/>
      <c r="I761" s="54"/>
    </row>
    <row r="762" spans="7:9" ht="13">
      <c r="G762" s="54"/>
      <c r="H762" s="54"/>
      <c r="I762" s="54"/>
    </row>
    <row r="763" spans="7:9" ht="13">
      <c r="G763" s="54"/>
      <c r="H763" s="54"/>
      <c r="I763" s="54"/>
    </row>
    <row r="764" spans="7:9" ht="13">
      <c r="G764" s="54"/>
      <c r="H764" s="54"/>
      <c r="I764" s="54"/>
    </row>
    <row r="765" spans="7:9" ht="13">
      <c r="G765" s="54"/>
      <c r="H765" s="54"/>
      <c r="I765" s="54"/>
    </row>
    <row r="766" spans="7:9" ht="13">
      <c r="G766" s="54"/>
      <c r="H766" s="54"/>
      <c r="I766" s="54"/>
    </row>
    <row r="767" spans="7:9" ht="13">
      <c r="G767" s="54"/>
      <c r="H767" s="54"/>
      <c r="I767" s="54"/>
    </row>
    <row r="768" spans="7:9" ht="13">
      <c r="G768" s="54"/>
      <c r="H768" s="54"/>
      <c r="I768" s="54"/>
    </row>
    <row r="769" spans="7:9" ht="13">
      <c r="G769" s="54"/>
      <c r="H769" s="54"/>
      <c r="I769" s="54"/>
    </row>
    <row r="770" spans="7:9" ht="13">
      <c r="G770" s="54"/>
      <c r="H770" s="54"/>
      <c r="I770" s="54"/>
    </row>
    <row r="771" spans="7:9" ht="13">
      <c r="G771" s="54"/>
      <c r="H771" s="54"/>
      <c r="I771" s="54"/>
    </row>
    <row r="772" spans="7:9" ht="13">
      <c r="G772" s="54"/>
      <c r="H772" s="54"/>
      <c r="I772" s="54"/>
    </row>
    <row r="773" spans="7:9" ht="13">
      <c r="G773" s="54"/>
      <c r="H773" s="54"/>
      <c r="I773" s="54"/>
    </row>
    <row r="774" spans="7:9" ht="13">
      <c r="G774" s="54"/>
      <c r="H774" s="54"/>
      <c r="I774" s="54"/>
    </row>
    <row r="775" spans="7:9" ht="13">
      <c r="G775" s="54"/>
      <c r="H775" s="54"/>
      <c r="I775" s="54"/>
    </row>
    <row r="776" spans="7:9" ht="13">
      <c r="G776" s="54"/>
      <c r="H776" s="54"/>
      <c r="I776" s="54"/>
    </row>
    <row r="777" spans="7:9" ht="13">
      <c r="G777" s="54"/>
      <c r="H777" s="54"/>
      <c r="I777" s="54"/>
    </row>
    <row r="778" spans="7:9" ht="13">
      <c r="G778" s="54"/>
      <c r="H778" s="54"/>
      <c r="I778" s="54"/>
    </row>
    <row r="779" spans="7:9" ht="13">
      <c r="G779" s="54"/>
      <c r="H779" s="54"/>
      <c r="I779" s="54"/>
    </row>
    <row r="780" spans="7:9" ht="13">
      <c r="G780" s="54"/>
      <c r="H780" s="54"/>
      <c r="I780" s="54"/>
    </row>
    <row r="781" spans="7:9" ht="13">
      <c r="G781" s="54"/>
      <c r="H781" s="54"/>
      <c r="I781" s="54"/>
    </row>
    <row r="782" spans="7:9" ht="13">
      <c r="G782" s="54"/>
      <c r="H782" s="54"/>
      <c r="I782" s="54"/>
    </row>
    <row r="783" spans="7:9" ht="13">
      <c r="G783" s="54"/>
      <c r="H783" s="54"/>
      <c r="I783" s="54"/>
    </row>
    <row r="784" spans="7:9" ht="13">
      <c r="G784" s="54"/>
      <c r="H784" s="54"/>
      <c r="I784" s="54"/>
    </row>
    <row r="785" spans="7:9" ht="13">
      <c r="G785" s="54"/>
      <c r="H785" s="54"/>
      <c r="I785" s="54"/>
    </row>
    <row r="786" spans="7:9" ht="13">
      <c r="G786" s="54"/>
      <c r="H786" s="54"/>
      <c r="I786" s="54"/>
    </row>
    <row r="787" spans="7:9" ht="13">
      <c r="G787" s="54"/>
      <c r="H787" s="54"/>
      <c r="I787" s="54"/>
    </row>
    <row r="788" spans="7:9" ht="13">
      <c r="G788" s="54"/>
      <c r="H788" s="54"/>
      <c r="I788" s="54"/>
    </row>
    <row r="789" spans="7:9" ht="13">
      <c r="G789" s="54"/>
      <c r="H789" s="54"/>
      <c r="I789" s="54"/>
    </row>
    <row r="790" spans="7:9" ht="13">
      <c r="G790" s="54"/>
      <c r="H790" s="54"/>
      <c r="I790" s="54"/>
    </row>
    <row r="791" spans="7:9" ht="13">
      <c r="G791" s="54"/>
      <c r="H791" s="54"/>
      <c r="I791" s="54"/>
    </row>
    <row r="792" spans="7:9" ht="13">
      <c r="G792" s="54"/>
      <c r="H792" s="54"/>
      <c r="I792" s="54"/>
    </row>
    <row r="793" spans="7:9" ht="13">
      <c r="G793" s="54"/>
      <c r="H793" s="54"/>
      <c r="I793" s="54"/>
    </row>
    <row r="794" spans="7:9" ht="13">
      <c r="G794" s="54"/>
      <c r="H794" s="54"/>
      <c r="I794" s="54"/>
    </row>
    <row r="795" spans="7:9" ht="13">
      <c r="G795" s="54"/>
      <c r="H795" s="54"/>
      <c r="I795" s="54"/>
    </row>
    <row r="796" spans="7:9" ht="13">
      <c r="G796" s="54"/>
      <c r="H796" s="54"/>
      <c r="I796" s="54"/>
    </row>
    <row r="797" spans="7:9" ht="13">
      <c r="G797" s="54"/>
      <c r="H797" s="54"/>
      <c r="I797" s="54"/>
    </row>
    <row r="798" spans="7:9" ht="13">
      <c r="G798" s="54"/>
      <c r="H798" s="54"/>
      <c r="I798" s="54"/>
    </row>
    <row r="799" spans="7:9" ht="13">
      <c r="G799" s="54"/>
      <c r="H799" s="54"/>
      <c r="I799" s="54"/>
    </row>
    <row r="800" spans="7:9" ht="13">
      <c r="G800" s="54"/>
      <c r="H800" s="54"/>
      <c r="I800" s="54"/>
    </row>
    <row r="801" spans="7:9" ht="13">
      <c r="G801" s="54"/>
      <c r="H801" s="54"/>
      <c r="I801" s="54"/>
    </row>
    <row r="802" spans="7:9" ht="13">
      <c r="G802" s="54"/>
      <c r="H802" s="54"/>
      <c r="I802" s="54"/>
    </row>
    <row r="803" spans="7:9" ht="13">
      <c r="G803" s="54"/>
      <c r="H803" s="54"/>
      <c r="I803" s="54"/>
    </row>
    <row r="804" spans="7:9" ht="13">
      <c r="G804" s="54"/>
      <c r="H804" s="54"/>
      <c r="I804" s="54"/>
    </row>
    <row r="805" spans="7:9" ht="13">
      <c r="G805" s="54"/>
      <c r="H805" s="54"/>
      <c r="I805" s="54"/>
    </row>
    <row r="806" spans="7:9" ht="13">
      <c r="G806" s="54"/>
      <c r="H806" s="54"/>
      <c r="I806" s="54"/>
    </row>
    <row r="807" spans="7:9" ht="13">
      <c r="G807" s="54"/>
      <c r="H807" s="54"/>
      <c r="I807" s="54"/>
    </row>
    <row r="808" spans="7:9" ht="13">
      <c r="G808" s="54"/>
      <c r="H808" s="54"/>
      <c r="I808" s="54"/>
    </row>
    <row r="809" spans="7:9" ht="13">
      <c r="G809" s="54"/>
      <c r="H809" s="54"/>
      <c r="I809" s="54"/>
    </row>
    <row r="810" spans="7:9" ht="13">
      <c r="G810" s="54"/>
      <c r="H810" s="54"/>
      <c r="I810" s="54"/>
    </row>
    <row r="811" spans="7:9" ht="13">
      <c r="G811" s="54"/>
      <c r="H811" s="54"/>
      <c r="I811" s="54"/>
    </row>
    <row r="812" spans="7:9" ht="13">
      <c r="G812" s="54"/>
      <c r="H812" s="54"/>
      <c r="I812" s="54"/>
    </row>
    <row r="813" spans="7:9" ht="13">
      <c r="G813" s="54"/>
      <c r="H813" s="54"/>
      <c r="I813" s="54"/>
    </row>
    <row r="814" spans="7:9" ht="13">
      <c r="G814" s="54"/>
      <c r="H814" s="54"/>
      <c r="I814" s="54"/>
    </row>
    <row r="815" spans="7:9" ht="13">
      <c r="G815" s="54"/>
      <c r="H815" s="54"/>
      <c r="I815" s="54"/>
    </row>
    <row r="816" spans="7:9" ht="13">
      <c r="G816" s="54"/>
      <c r="H816" s="54"/>
      <c r="I816" s="54"/>
    </row>
    <row r="817" spans="7:9" ht="13">
      <c r="G817" s="54"/>
      <c r="H817" s="54"/>
      <c r="I817" s="54"/>
    </row>
    <row r="818" spans="7:9" ht="13">
      <c r="G818" s="54"/>
      <c r="H818" s="54"/>
      <c r="I818" s="54"/>
    </row>
    <row r="819" spans="7:9" ht="13">
      <c r="G819" s="54"/>
      <c r="H819" s="54"/>
      <c r="I819" s="54"/>
    </row>
    <row r="820" spans="7:9" ht="13">
      <c r="G820" s="54"/>
      <c r="H820" s="54"/>
      <c r="I820" s="54"/>
    </row>
    <row r="821" spans="7:9" ht="13">
      <c r="G821" s="54"/>
      <c r="H821" s="54"/>
      <c r="I821" s="54"/>
    </row>
    <row r="822" spans="7:9" ht="13">
      <c r="G822" s="54"/>
      <c r="H822" s="54"/>
      <c r="I822" s="54"/>
    </row>
    <row r="823" spans="7:9" ht="13">
      <c r="G823" s="54"/>
      <c r="H823" s="54"/>
      <c r="I823" s="54"/>
    </row>
    <row r="824" spans="7:9" ht="13">
      <c r="G824" s="54"/>
      <c r="H824" s="54"/>
      <c r="I824" s="54"/>
    </row>
    <row r="825" spans="7:9" ht="13">
      <c r="G825" s="54"/>
      <c r="H825" s="54"/>
      <c r="I825" s="54"/>
    </row>
    <row r="826" spans="7:9" ht="13">
      <c r="G826" s="54"/>
      <c r="H826" s="54"/>
      <c r="I826" s="54"/>
    </row>
    <row r="827" spans="7:9" ht="13">
      <c r="G827" s="54"/>
      <c r="H827" s="54"/>
      <c r="I827" s="54"/>
    </row>
    <row r="828" spans="7:9" ht="13">
      <c r="G828" s="54"/>
      <c r="H828" s="54"/>
      <c r="I828" s="54"/>
    </row>
    <row r="829" spans="7:9" ht="13">
      <c r="G829" s="54"/>
      <c r="H829" s="54"/>
      <c r="I829" s="54"/>
    </row>
    <row r="830" spans="7:9" ht="13">
      <c r="G830" s="54"/>
      <c r="H830" s="54"/>
      <c r="I830" s="54"/>
    </row>
    <row r="831" spans="7:9" ht="13">
      <c r="G831" s="54"/>
      <c r="H831" s="54"/>
      <c r="I831" s="54"/>
    </row>
    <row r="832" spans="7:9" ht="13">
      <c r="G832" s="54"/>
      <c r="H832" s="54"/>
      <c r="I832" s="54"/>
    </row>
    <row r="833" spans="7:9" ht="13">
      <c r="G833" s="54"/>
      <c r="H833" s="54"/>
      <c r="I833" s="54"/>
    </row>
    <row r="834" spans="7:9" ht="13">
      <c r="G834" s="54"/>
      <c r="H834" s="54"/>
      <c r="I834" s="54"/>
    </row>
    <row r="835" spans="7:9" ht="13">
      <c r="G835" s="54"/>
      <c r="H835" s="54"/>
      <c r="I835" s="54"/>
    </row>
    <row r="836" spans="7:9" ht="13">
      <c r="G836" s="54"/>
      <c r="H836" s="54"/>
      <c r="I836" s="54"/>
    </row>
    <row r="837" spans="7:9" ht="13">
      <c r="G837" s="54"/>
      <c r="H837" s="54"/>
      <c r="I837" s="54"/>
    </row>
    <row r="838" spans="7:9" ht="13">
      <c r="G838" s="54"/>
      <c r="H838" s="54"/>
      <c r="I838" s="54"/>
    </row>
    <row r="839" spans="7:9" ht="13">
      <c r="G839" s="54"/>
      <c r="H839" s="54"/>
      <c r="I839" s="54"/>
    </row>
    <row r="840" spans="7:9" ht="13">
      <c r="G840" s="54"/>
      <c r="H840" s="54"/>
      <c r="I840" s="54"/>
    </row>
    <row r="841" spans="7:9" ht="13">
      <c r="G841" s="54"/>
      <c r="H841" s="54"/>
      <c r="I841" s="54"/>
    </row>
    <row r="842" spans="7:9" ht="13">
      <c r="G842" s="54"/>
      <c r="H842" s="54"/>
      <c r="I842" s="54"/>
    </row>
    <row r="843" spans="7:9" ht="13">
      <c r="G843" s="54"/>
      <c r="H843" s="54"/>
      <c r="I843" s="54"/>
    </row>
    <row r="844" spans="7:9" ht="13">
      <c r="G844" s="54"/>
      <c r="H844" s="54"/>
      <c r="I844" s="54"/>
    </row>
    <row r="845" spans="7:9" ht="13">
      <c r="G845" s="54"/>
      <c r="H845" s="54"/>
      <c r="I845" s="54"/>
    </row>
    <row r="846" spans="7:9" ht="13">
      <c r="G846" s="54"/>
      <c r="H846" s="54"/>
      <c r="I846" s="54"/>
    </row>
    <row r="847" spans="7:9" ht="13">
      <c r="G847" s="54"/>
      <c r="H847" s="54"/>
      <c r="I847" s="54"/>
    </row>
    <row r="848" spans="7:9" ht="13">
      <c r="G848" s="54"/>
      <c r="H848" s="54"/>
      <c r="I848" s="54"/>
    </row>
    <row r="849" spans="7:9" ht="13">
      <c r="G849" s="54"/>
      <c r="H849" s="54"/>
      <c r="I849" s="54"/>
    </row>
    <row r="850" spans="7:9" ht="13">
      <c r="G850" s="54"/>
      <c r="H850" s="54"/>
      <c r="I850" s="54"/>
    </row>
    <row r="851" spans="7:9" ht="13">
      <c r="G851" s="54"/>
      <c r="H851" s="54"/>
      <c r="I851" s="54"/>
    </row>
    <row r="852" spans="7:9" ht="13">
      <c r="G852" s="54"/>
      <c r="H852" s="54"/>
      <c r="I852" s="54"/>
    </row>
    <row r="853" spans="7:9" ht="13">
      <c r="G853" s="54"/>
      <c r="H853" s="54"/>
      <c r="I853" s="54"/>
    </row>
    <row r="854" spans="7:9" ht="13">
      <c r="G854" s="54"/>
      <c r="H854" s="54"/>
      <c r="I854" s="54"/>
    </row>
    <row r="855" spans="7:9" ht="13">
      <c r="G855" s="54"/>
      <c r="H855" s="54"/>
      <c r="I855" s="54"/>
    </row>
    <row r="856" spans="7:9" ht="13">
      <c r="G856" s="54"/>
      <c r="H856" s="54"/>
      <c r="I856" s="54"/>
    </row>
    <row r="857" spans="7:9" ht="13">
      <c r="G857" s="54"/>
      <c r="H857" s="54"/>
      <c r="I857" s="54"/>
    </row>
    <row r="858" spans="7:9" ht="13">
      <c r="G858" s="54"/>
      <c r="H858" s="54"/>
      <c r="I858" s="54"/>
    </row>
    <row r="859" spans="7:9" ht="13">
      <c r="G859" s="54"/>
      <c r="H859" s="54"/>
      <c r="I859" s="54"/>
    </row>
    <row r="860" spans="7:9" ht="13">
      <c r="G860" s="54"/>
      <c r="H860" s="54"/>
      <c r="I860" s="54"/>
    </row>
    <row r="861" spans="7:9" ht="13">
      <c r="G861" s="54"/>
      <c r="H861" s="54"/>
      <c r="I861" s="54"/>
    </row>
    <row r="862" spans="7:9" ht="13">
      <c r="G862" s="54"/>
      <c r="H862" s="54"/>
      <c r="I862" s="54"/>
    </row>
    <row r="863" spans="7:9" ht="13">
      <c r="G863" s="54"/>
      <c r="H863" s="54"/>
      <c r="I863" s="54"/>
    </row>
    <row r="864" spans="7:9" ht="13">
      <c r="G864" s="54"/>
      <c r="H864" s="54"/>
      <c r="I864" s="54"/>
    </row>
    <row r="865" spans="7:9" ht="13">
      <c r="G865" s="54"/>
      <c r="H865" s="54"/>
      <c r="I865" s="54"/>
    </row>
    <row r="866" spans="7:9" ht="13">
      <c r="G866" s="54"/>
      <c r="H866" s="54"/>
      <c r="I866" s="54"/>
    </row>
    <row r="867" spans="7:9" ht="13">
      <c r="G867" s="54"/>
      <c r="H867" s="54"/>
      <c r="I867" s="54"/>
    </row>
    <row r="868" spans="7:9" ht="13">
      <c r="G868" s="54"/>
      <c r="H868" s="54"/>
      <c r="I868" s="54"/>
    </row>
    <row r="869" spans="7:9" ht="13">
      <c r="G869" s="54"/>
      <c r="H869" s="54"/>
      <c r="I869" s="54"/>
    </row>
    <row r="870" spans="7:9" ht="13">
      <c r="G870" s="54"/>
      <c r="H870" s="54"/>
      <c r="I870" s="54"/>
    </row>
    <row r="871" spans="7:9" ht="13">
      <c r="G871" s="54"/>
      <c r="H871" s="54"/>
      <c r="I871" s="54"/>
    </row>
    <row r="872" spans="7:9" ht="13">
      <c r="G872" s="54"/>
      <c r="H872" s="54"/>
      <c r="I872" s="54"/>
    </row>
    <row r="873" spans="7:9" ht="13">
      <c r="G873" s="54"/>
      <c r="H873" s="54"/>
      <c r="I873" s="54"/>
    </row>
    <row r="874" spans="7:9" ht="13">
      <c r="G874" s="54"/>
      <c r="H874" s="54"/>
      <c r="I874" s="54"/>
    </row>
    <row r="875" spans="7:9" ht="13">
      <c r="G875" s="54"/>
      <c r="H875" s="54"/>
      <c r="I875" s="54"/>
    </row>
    <row r="876" spans="7:9" ht="13">
      <c r="G876" s="54"/>
      <c r="H876" s="54"/>
      <c r="I876" s="54"/>
    </row>
    <row r="877" spans="7:9" ht="13">
      <c r="G877" s="54"/>
      <c r="H877" s="54"/>
      <c r="I877" s="54"/>
    </row>
    <row r="878" spans="7:9" ht="13">
      <c r="G878" s="54"/>
      <c r="H878" s="54"/>
      <c r="I878" s="54"/>
    </row>
    <row r="879" spans="7:9" ht="13">
      <c r="G879" s="54"/>
      <c r="H879" s="54"/>
      <c r="I879" s="54"/>
    </row>
    <row r="880" spans="7:9" ht="13">
      <c r="G880" s="54"/>
      <c r="H880" s="54"/>
      <c r="I880" s="54"/>
    </row>
    <row r="881" spans="7:9" ht="13">
      <c r="G881" s="54"/>
      <c r="H881" s="54"/>
      <c r="I881" s="54"/>
    </row>
    <row r="882" spans="7:9" ht="13">
      <c r="G882" s="54"/>
      <c r="H882" s="54"/>
      <c r="I882" s="54"/>
    </row>
    <row r="883" spans="7:9" ht="13">
      <c r="G883" s="54"/>
      <c r="H883" s="54"/>
      <c r="I883" s="54"/>
    </row>
    <row r="884" spans="7:9" ht="13">
      <c r="G884" s="54"/>
      <c r="H884" s="54"/>
      <c r="I884" s="54"/>
    </row>
    <row r="885" spans="7:9" ht="13">
      <c r="G885" s="54"/>
      <c r="H885" s="54"/>
      <c r="I885" s="54"/>
    </row>
    <row r="886" spans="7:9" ht="13">
      <c r="G886" s="54"/>
      <c r="H886" s="54"/>
      <c r="I886" s="54"/>
    </row>
    <row r="887" spans="7:9" ht="13">
      <c r="G887" s="54"/>
      <c r="H887" s="54"/>
      <c r="I887" s="54"/>
    </row>
    <row r="888" spans="7:9" ht="13">
      <c r="G888" s="54"/>
      <c r="H888" s="54"/>
      <c r="I888" s="54"/>
    </row>
    <row r="889" spans="7:9" ht="13">
      <c r="G889" s="54"/>
      <c r="H889" s="54"/>
      <c r="I889" s="54"/>
    </row>
    <row r="890" spans="7:9" ht="13">
      <c r="G890" s="54"/>
      <c r="H890" s="54"/>
      <c r="I890" s="54"/>
    </row>
    <row r="891" spans="7:9" ht="13">
      <c r="G891" s="54"/>
      <c r="H891" s="54"/>
      <c r="I891" s="54"/>
    </row>
    <row r="892" spans="7:9" ht="13">
      <c r="G892" s="54"/>
      <c r="H892" s="54"/>
      <c r="I892" s="54"/>
    </row>
    <row r="893" spans="7:9" ht="13">
      <c r="G893" s="54"/>
      <c r="H893" s="54"/>
      <c r="I893" s="54"/>
    </row>
    <row r="894" spans="7:9" ht="13">
      <c r="G894" s="54"/>
      <c r="H894" s="54"/>
      <c r="I894" s="54"/>
    </row>
    <row r="895" spans="7:9" ht="13">
      <c r="G895" s="54"/>
      <c r="H895" s="54"/>
      <c r="I895" s="54"/>
    </row>
    <row r="896" spans="7:9" ht="13">
      <c r="G896" s="54"/>
      <c r="H896" s="54"/>
      <c r="I896" s="54"/>
    </row>
    <row r="897" spans="7:9" ht="13">
      <c r="G897" s="54"/>
      <c r="H897" s="54"/>
      <c r="I897" s="54"/>
    </row>
    <row r="898" spans="7:9" ht="13">
      <c r="G898" s="54"/>
      <c r="H898" s="54"/>
      <c r="I898" s="54"/>
    </row>
    <row r="899" spans="7:9" ht="13">
      <c r="G899" s="54"/>
      <c r="H899" s="54"/>
      <c r="I899" s="54"/>
    </row>
    <row r="900" spans="7:9" ht="13">
      <c r="G900" s="54"/>
      <c r="H900" s="54"/>
      <c r="I900" s="54"/>
    </row>
    <row r="901" spans="7:9" ht="13">
      <c r="G901" s="54"/>
      <c r="H901" s="54"/>
      <c r="I901" s="54"/>
    </row>
    <row r="902" spans="7:9" ht="13">
      <c r="G902" s="54"/>
      <c r="H902" s="54"/>
      <c r="I902" s="54"/>
    </row>
    <row r="903" spans="7:9" ht="13">
      <c r="G903" s="54"/>
      <c r="H903" s="54"/>
      <c r="I903" s="54"/>
    </row>
    <row r="904" spans="7:9" ht="13">
      <c r="G904" s="54"/>
      <c r="H904" s="54"/>
      <c r="I904" s="54"/>
    </row>
    <row r="905" spans="7:9" ht="13">
      <c r="G905" s="54"/>
      <c r="H905" s="54"/>
      <c r="I905" s="54"/>
    </row>
    <row r="906" spans="7:9" ht="13">
      <c r="G906" s="54"/>
      <c r="H906" s="54"/>
      <c r="I906" s="54"/>
    </row>
    <row r="907" spans="7:9" ht="13">
      <c r="G907" s="54"/>
      <c r="H907" s="54"/>
      <c r="I907" s="54"/>
    </row>
    <row r="908" spans="7:9" ht="13">
      <c r="G908" s="54"/>
      <c r="H908" s="54"/>
      <c r="I908" s="54"/>
    </row>
    <row r="909" spans="7:9" ht="13">
      <c r="G909" s="54"/>
      <c r="H909" s="54"/>
      <c r="I909" s="54"/>
    </row>
    <row r="910" spans="7:9" ht="13">
      <c r="G910" s="54"/>
      <c r="H910" s="54"/>
      <c r="I910" s="54"/>
    </row>
    <row r="911" spans="7:9" ht="13">
      <c r="G911" s="54"/>
      <c r="H911" s="54"/>
      <c r="I911" s="54"/>
    </row>
    <row r="912" spans="7:9" ht="13">
      <c r="G912" s="54"/>
      <c r="H912" s="54"/>
      <c r="I912" s="54"/>
    </row>
    <row r="913" spans="7:9" ht="13">
      <c r="G913" s="54"/>
      <c r="H913" s="54"/>
      <c r="I913" s="54"/>
    </row>
    <row r="914" spans="7:9" ht="13">
      <c r="G914" s="54"/>
      <c r="H914" s="54"/>
      <c r="I914" s="54"/>
    </row>
    <row r="915" spans="7:9" ht="13">
      <c r="G915" s="54"/>
      <c r="H915" s="54"/>
      <c r="I915" s="54"/>
    </row>
    <row r="916" spans="7:9" ht="13">
      <c r="G916" s="54"/>
      <c r="H916" s="54"/>
      <c r="I916" s="54"/>
    </row>
    <row r="917" spans="7:9" ht="13">
      <c r="G917" s="54"/>
      <c r="H917" s="54"/>
      <c r="I917" s="54"/>
    </row>
    <row r="918" spans="7:9" ht="13">
      <c r="G918" s="54"/>
      <c r="H918" s="54"/>
      <c r="I918" s="54"/>
    </row>
    <row r="919" spans="7:9" ht="13">
      <c r="G919" s="54"/>
      <c r="H919" s="54"/>
      <c r="I919" s="54"/>
    </row>
    <row r="920" spans="7:9" ht="13">
      <c r="G920" s="54"/>
      <c r="H920" s="54"/>
      <c r="I920" s="54"/>
    </row>
    <row r="921" spans="7:9" ht="13">
      <c r="G921" s="54"/>
      <c r="H921" s="54"/>
      <c r="I921" s="54"/>
    </row>
    <row r="922" spans="7:9" ht="13">
      <c r="G922" s="54"/>
      <c r="H922" s="54"/>
      <c r="I922" s="54"/>
    </row>
    <row r="923" spans="7:9" ht="13">
      <c r="G923" s="54"/>
      <c r="H923" s="54"/>
      <c r="I923" s="54"/>
    </row>
    <row r="924" spans="7:9" ht="13">
      <c r="G924" s="54"/>
      <c r="H924" s="54"/>
      <c r="I924" s="54"/>
    </row>
    <row r="925" spans="7:9" ht="13">
      <c r="G925" s="54"/>
      <c r="H925" s="54"/>
      <c r="I925" s="54"/>
    </row>
    <row r="926" spans="7:9" ht="13">
      <c r="G926" s="54"/>
      <c r="H926" s="54"/>
      <c r="I926" s="54"/>
    </row>
    <row r="927" spans="7:9" ht="13">
      <c r="G927" s="54"/>
      <c r="H927" s="54"/>
      <c r="I927" s="54"/>
    </row>
    <row r="928" spans="7:9" ht="13">
      <c r="G928" s="54"/>
      <c r="H928" s="54"/>
      <c r="I928" s="54"/>
    </row>
    <row r="929" spans="7:9" ht="13">
      <c r="G929" s="54"/>
      <c r="H929" s="54"/>
      <c r="I929" s="54"/>
    </row>
    <row r="930" spans="7:9" ht="13">
      <c r="G930" s="54"/>
      <c r="H930" s="54"/>
      <c r="I930" s="54"/>
    </row>
    <row r="931" spans="7:9" ht="13">
      <c r="G931" s="54"/>
      <c r="H931" s="54"/>
      <c r="I931" s="54"/>
    </row>
    <row r="932" spans="7:9" ht="13">
      <c r="G932" s="54"/>
      <c r="H932" s="54"/>
      <c r="I932" s="54"/>
    </row>
    <row r="933" spans="7:9" ht="13">
      <c r="G933" s="54"/>
      <c r="H933" s="54"/>
      <c r="I933" s="54"/>
    </row>
    <row r="934" spans="7:9" ht="13">
      <c r="G934" s="54"/>
      <c r="H934" s="54"/>
      <c r="I934" s="54"/>
    </row>
    <row r="935" spans="7:9" ht="13">
      <c r="G935" s="54"/>
      <c r="H935" s="54"/>
      <c r="I935" s="54"/>
    </row>
    <row r="936" spans="7:9" ht="13">
      <c r="G936" s="54"/>
      <c r="H936" s="54"/>
      <c r="I936" s="54"/>
    </row>
    <row r="937" spans="7:9" ht="13">
      <c r="G937" s="54"/>
      <c r="H937" s="54"/>
      <c r="I937" s="54"/>
    </row>
    <row r="938" spans="7:9" ht="13">
      <c r="G938" s="54"/>
      <c r="H938" s="54"/>
      <c r="I938" s="54"/>
    </row>
    <row r="939" spans="7:9" ht="13">
      <c r="G939" s="54"/>
      <c r="H939" s="54"/>
      <c r="I939" s="54"/>
    </row>
    <row r="940" spans="7:9" ht="13">
      <c r="G940" s="54"/>
      <c r="H940" s="54"/>
      <c r="I940" s="54"/>
    </row>
    <row r="941" spans="7:9" ht="13">
      <c r="G941" s="54"/>
      <c r="H941" s="54"/>
      <c r="I941" s="54"/>
    </row>
    <row r="942" spans="7:9" ht="13">
      <c r="G942" s="54"/>
      <c r="H942" s="54"/>
      <c r="I942" s="54"/>
    </row>
    <row r="943" spans="7:9" ht="13">
      <c r="G943" s="54"/>
      <c r="H943" s="54"/>
      <c r="I943" s="54"/>
    </row>
    <row r="944" spans="7:9" ht="13">
      <c r="G944" s="54"/>
      <c r="H944" s="54"/>
      <c r="I944" s="54"/>
    </row>
    <row r="945" spans="7:9" ht="13">
      <c r="G945" s="54"/>
      <c r="H945" s="54"/>
      <c r="I945" s="54"/>
    </row>
    <row r="946" spans="7:9" ht="13">
      <c r="G946" s="54"/>
      <c r="H946" s="54"/>
      <c r="I946" s="54"/>
    </row>
    <row r="947" spans="7:9" ht="13">
      <c r="G947" s="54"/>
      <c r="H947" s="54"/>
      <c r="I947" s="54"/>
    </row>
    <row r="948" spans="7:9" ht="13">
      <c r="G948" s="54"/>
      <c r="H948" s="54"/>
      <c r="I948" s="54"/>
    </row>
    <row r="949" spans="7:9" ht="13">
      <c r="G949" s="54"/>
      <c r="H949" s="54"/>
      <c r="I949" s="54"/>
    </row>
    <row r="950" spans="7:9" ht="13">
      <c r="G950" s="54"/>
      <c r="H950" s="54"/>
      <c r="I950" s="54"/>
    </row>
    <row r="951" spans="7:9" ht="13">
      <c r="G951" s="54"/>
      <c r="H951" s="54"/>
      <c r="I951" s="54"/>
    </row>
    <row r="952" spans="7:9" ht="13">
      <c r="G952" s="54"/>
      <c r="H952" s="54"/>
      <c r="I952" s="54"/>
    </row>
    <row r="953" spans="7:9" ht="13">
      <c r="G953" s="54"/>
      <c r="H953" s="54"/>
      <c r="I953" s="54"/>
    </row>
    <row r="954" spans="7:9" ht="13">
      <c r="G954" s="54"/>
      <c r="H954" s="54"/>
      <c r="I954" s="54"/>
    </row>
    <row r="955" spans="7:9" ht="13">
      <c r="G955" s="54"/>
      <c r="H955" s="54"/>
      <c r="I955" s="54"/>
    </row>
    <row r="956" spans="7:9" ht="13">
      <c r="G956" s="54"/>
      <c r="H956" s="54"/>
      <c r="I956" s="54"/>
    </row>
    <row r="957" spans="7:9" ht="13">
      <c r="G957" s="54"/>
      <c r="H957" s="54"/>
      <c r="I957" s="54"/>
    </row>
    <row r="958" spans="7:9" ht="13">
      <c r="G958" s="54"/>
      <c r="H958" s="54"/>
      <c r="I958" s="54"/>
    </row>
    <row r="959" spans="7:9" ht="13">
      <c r="G959" s="54"/>
      <c r="H959" s="54"/>
      <c r="I959" s="54"/>
    </row>
    <row r="960" spans="7:9" ht="13">
      <c r="G960" s="54"/>
      <c r="H960" s="54"/>
      <c r="I960" s="54"/>
    </row>
    <row r="961" spans="7:9" ht="13">
      <c r="G961" s="54"/>
      <c r="H961" s="54"/>
      <c r="I961" s="54"/>
    </row>
    <row r="962" spans="7:9" ht="13">
      <c r="G962" s="54"/>
      <c r="H962" s="54"/>
      <c r="I962" s="54"/>
    </row>
    <row r="963" spans="7:9" ht="13">
      <c r="G963" s="54"/>
      <c r="H963" s="54"/>
      <c r="I963" s="54"/>
    </row>
    <row r="964" spans="7:9" ht="13">
      <c r="G964" s="54"/>
      <c r="H964" s="54"/>
      <c r="I964" s="54"/>
    </row>
    <row r="965" spans="7:9" ht="13">
      <c r="G965" s="54"/>
      <c r="H965" s="54"/>
      <c r="I965" s="54"/>
    </row>
    <row r="966" spans="7:9" ht="13">
      <c r="G966" s="54"/>
      <c r="H966" s="54"/>
      <c r="I966" s="54"/>
    </row>
    <row r="967" spans="7:9" ht="13">
      <c r="G967" s="54"/>
      <c r="H967" s="54"/>
      <c r="I967" s="54"/>
    </row>
    <row r="968" spans="7:9" ht="13">
      <c r="G968" s="54"/>
      <c r="H968" s="54"/>
      <c r="I968" s="54"/>
    </row>
    <row r="969" spans="7:9" ht="13">
      <c r="G969" s="54"/>
      <c r="H969" s="54"/>
      <c r="I969" s="54"/>
    </row>
    <row r="970" spans="7:9" ht="13">
      <c r="G970" s="54"/>
      <c r="H970" s="54"/>
      <c r="I970" s="54"/>
    </row>
    <row r="971" spans="7:9" ht="13">
      <c r="G971" s="54"/>
      <c r="H971" s="54"/>
      <c r="I971" s="54"/>
    </row>
    <row r="972" spans="7:9" ht="13">
      <c r="G972" s="54"/>
      <c r="H972" s="54"/>
      <c r="I972" s="54"/>
    </row>
    <row r="973" spans="7:9" ht="13">
      <c r="G973" s="54"/>
      <c r="H973" s="54"/>
      <c r="I973" s="54"/>
    </row>
    <row r="974" spans="7:9" ht="13">
      <c r="G974" s="54"/>
      <c r="H974" s="54"/>
      <c r="I974" s="54"/>
    </row>
    <row r="975" spans="7:9" ht="13">
      <c r="G975" s="54"/>
      <c r="H975" s="54"/>
      <c r="I975" s="54"/>
    </row>
    <row r="976" spans="7:9" ht="13">
      <c r="G976" s="54"/>
      <c r="H976" s="54"/>
      <c r="I976" s="54"/>
    </row>
    <row r="977" spans="7:9" ht="13">
      <c r="G977" s="54"/>
      <c r="H977" s="54"/>
      <c r="I977" s="54"/>
    </row>
    <row r="978" spans="7:9" ht="13">
      <c r="G978" s="54"/>
      <c r="H978" s="54"/>
      <c r="I978" s="54"/>
    </row>
    <row r="979" spans="7:9" ht="13">
      <c r="G979" s="54"/>
      <c r="H979" s="54"/>
      <c r="I979" s="54"/>
    </row>
    <row r="980" spans="7:9" ht="13">
      <c r="G980" s="54"/>
      <c r="H980" s="54"/>
      <c r="I980" s="54"/>
    </row>
    <row r="981" spans="7:9" ht="13">
      <c r="G981" s="54"/>
      <c r="H981" s="54"/>
      <c r="I981" s="54"/>
    </row>
    <row r="982" spans="7:9" ht="13">
      <c r="G982" s="54"/>
      <c r="H982" s="54"/>
      <c r="I982" s="54"/>
    </row>
    <row r="983" spans="7:9" ht="13">
      <c r="G983" s="54"/>
      <c r="H983" s="54"/>
      <c r="I983" s="54"/>
    </row>
    <row r="984" spans="7:9" ht="13">
      <c r="G984" s="54"/>
      <c r="H984" s="54"/>
      <c r="I984" s="54"/>
    </row>
    <row r="985" spans="7:9" ht="13">
      <c r="G985" s="54"/>
      <c r="H985" s="54"/>
      <c r="I985" s="54"/>
    </row>
    <row r="986" spans="7:9" ht="13">
      <c r="G986" s="54"/>
      <c r="H986" s="54"/>
      <c r="I986" s="54"/>
    </row>
    <row r="987" spans="7:9" ht="13">
      <c r="G987" s="54"/>
      <c r="H987" s="54"/>
      <c r="I987" s="54"/>
    </row>
    <row r="988" spans="7:9" ht="13">
      <c r="G988" s="54"/>
      <c r="H988" s="54"/>
      <c r="I988" s="54"/>
    </row>
    <row r="989" spans="7:9" ht="13">
      <c r="G989" s="54"/>
      <c r="H989" s="54"/>
      <c r="I989" s="54"/>
    </row>
    <row r="990" spans="7:9" ht="13">
      <c r="G990" s="54"/>
      <c r="H990" s="54"/>
      <c r="I990" s="54"/>
    </row>
    <row r="991" spans="7:9" ht="13">
      <c r="G991" s="54"/>
      <c r="H991" s="54"/>
      <c r="I991" s="54"/>
    </row>
    <row r="992" spans="7:9" ht="13">
      <c r="G992" s="54"/>
      <c r="H992" s="54"/>
      <c r="I992" s="54"/>
    </row>
    <row r="993" spans="7:9" ht="13">
      <c r="G993" s="54"/>
      <c r="H993" s="54"/>
      <c r="I993" s="54"/>
    </row>
    <row r="994" spans="7:9" ht="13">
      <c r="G994" s="54"/>
      <c r="H994" s="54"/>
      <c r="I994" s="54"/>
    </row>
    <row r="995" spans="7:9" ht="13">
      <c r="G995" s="54"/>
      <c r="H995" s="54"/>
      <c r="I995" s="54"/>
    </row>
    <row r="996" spans="7:9" ht="13">
      <c r="G996" s="54"/>
      <c r="H996" s="54"/>
      <c r="I996" s="54"/>
    </row>
    <row r="997" spans="7:9" ht="13">
      <c r="G997" s="54"/>
      <c r="H997" s="54"/>
      <c r="I997" s="54"/>
    </row>
    <row r="998" spans="7:9" ht="13">
      <c r="G998" s="54"/>
      <c r="H998" s="54"/>
      <c r="I998" s="54"/>
    </row>
    <row r="999" spans="7:9" ht="13">
      <c r="G999" s="54"/>
      <c r="H999" s="54"/>
      <c r="I999" s="54"/>
    </row>
    <row r="1000" spans="7:9" ht="13">
      <c r="G1000" s="54"/>
      <c r="H1000" s="54"/>
      <c r="I1000" s="54"/>
    </row>
    <row r="1001" spans="7:9" ht="13">
      <c r="G1001" s="54"/>
      <c r="H1001" s="54"/>
      <c r="I1001" s="54"/>
    </row>
    <row r="1002" spans="7:9" ht="13">
      <c r="G1002" s="54"/>
      <c r="H1002" s="54"/>
      <c r="I1002" s="54"/>
    </row>
  </sheetData>
  <dataValidations count="2">
    <dataValidation type="list" allowBlank="1" sqref="C2:C27" xr:uid="{00000000-0002-0000-0100-000000000000}">
      <formula1>"CV,Busboom,Unknown,Colby,Alfred,Jed,Osvaldo,Gavin,Tate,Unknown"</formula1>
    </dataValidation>
    <dataValidation type="custom" allowBlank="1" showDropDown="1" sqref="A2:A27" xr:uid="{00000000-0002-0000-0100-000001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2" ht="15.75" customHeight="1">
      <c r="A1" s="13" t="s">
        <v>424</v>
      </c>
      <c r="B1" s="13" t="s">
        <v>425</v>
      </c>
    </row>
    <row r="2" spans="1:2" ht="15.75" customHeight="1">
      <c r="A2" s="13" t="s">
        <v>43</v>
      </c>
      <c r="B2" s="13" t="s">
        <v>426</v>
      </c>
    </row>
    <row r="3" spans="1:2" ht="15.75" customHeight="1">
      <c r="A3" s="13" t="s">
        <v>178</v>
      </c>
      <c r="B3" s="13" t="s">
        <v>426</v>
      </c>
    </row>
    <row r="4" spans="1:2" ht="15.75" customHeight="1">
      <c r="A4" s="13" t="s">
        <v>107</v>
      </c>
      <c r="B4" s="13" t="s">
        <v>426</v>
      </c>
    </row>
    <row r="5" spans="1:2" ht="15.75" customHeight="1">
      <c r="A5" s="13" t="s">
        <v>111</v>
      </c>
      <c r="B5" s="13" t="s">
        <v>426</v>
      </c>
    </row>
    <row r="6" spans="1:2" ht="15.75" customHeight="1">
      <c r="A6" s="13" t="s">
        <v>183</v>
      </c>
      <c r="B6" s="13" t="s">
        <v>426</v>
      </c>
    </row>
    <row r="7" spans="1:2" ht="15.75" customHeight="1">
      <c r="A7" s="13" t="s">
        <v>115</v>
      </c>
      <c r="B7" s="13" t="s">
        <v>426</v>
      </c>
    </row>
    <row r="8" spans="1:2" ht="15.75" customHeight="1">
      <c r="A8" s="13" t="s">
        <v>17</v>
      </c>
      <c r="B8" s="13" t="s">
        <v>426</v>
      </c>
    </row>
    <row r="9" spans="1:2" ht="15.75" customHeight="1">
      <c r="A9" s="13" t="s">
        <v>26</v>
      </c>
      <c r="B9" s="13" t="s">
        <v>426</v>
      </c>
    </row>
    <row r="10" spans="1:2" ht="15.75" customHeight="1">
      <c r="A10" s="13" t="s">
        <v>119</v>
      </c>
      <c r="B10" s="13" t="s">
        <v>426</v>
      </c>
    </row>
    <row r="11" spans="1:2" ht="15.75" customHeight="1">
      <c r="A11" s="13" t="s">
        <v>30</v>
      </c>
      <c r="B11" s="13" t="s">
        <v>426</v>
      </c>
    </row>
    <row r="12" spans="1:2" ht="15.75" customHeight="1">
      <c r="A12" s="13" t="s">
        <v>188</v>
      </c>
      <c r="B12" s="13" t="s">
        <v>426</v>
      </c>
    </row>
    <row r="13" spans="1:2" ht="15.75" customHeight="1">
      <c r="A13" s="13" t="s">
        <v>48</v>
      </c>
      <c r="B13" s="13" t="s">
        <v>426</v>
      </c>
    </row>
    <row r="14" spans="1:2" ht="15.75" customHeight="1">
      <c r="A14" s="13" t="s">
        <v>193</v>
      </c>
      <c r="B14" s="13" t="s">
        <v>426</v>
      </c>
    </row>
    <row r="15" spans="1:2" ht="15.75" customHeight="1">
      <c r="A15" s="13" t="s">
        <v>250</v>
      </c>
      <c r="B15" s="13" t="s">
        <v>426</v>
      </c>
    </row>
    <row r="16" spans="1:2" ht="15.75" customHeight="1">
      <c r="A16" s="13" t="s">
        <v>198</v>
      </c>
      <c r="B16" s="13" t="s">
        <v>426</v>
      </c>
    </row>
    <row r="17" spans="1:2" ht="15.75" customHeight="1">
      <c r="A17" s="13" t="s">
        <v>209</v>
      </c>
    </row>
    <row r="18" spans="1:2" ht="15.75" customHeight="1">
      <c r="A18" s="13" t="s">
        <v>126</v>
      </c>
      <c r="B18" s="13" t="s">
        <v>426</v>
      </c>
    </row>
    <row r="19" spans="1:2" ht="15.75" customHeight="1">
      <c r="A19" s="13" t="s">
        <v>53</v>
      </c>
      <c r="B19" s="13" t="s">
        <v>426</v>
      </c>
    </row>
    <row r="20" spans="1:2" ht="15.75" customHeight="1">
      <c r="A20" s="13" t="s">
        <v>34</v>
      </c>
      <c r="B20" s="13" t="s">
        <v>426</v>
      </c>
    </row>
    <row r="21" spans="1:2" ht="15.75" customHeight="1">
      <c r="A21" s="13" t="s">
        <v>427</v>
      </c>
      <c r="B21" s="13" t="s">
        <v>426</v>
      </c>
    </row>
    <row r="22" spans="1:2" ht="15.75" customHeight="1">
      <c r="A22" s="13" t="s">
        <v>211</v>
      </c>
    </row>
    <row r="23" spans="1:2" ht="15.75" customHeight="1">
      <c r="A23" s="13" t="s">
        <v>201</v>
      </c>
      <c r="B23" s="13" t="s">
        <v>426</v>
      </c>
    </row>
    <row r="24" spans="1:2" ht="15.75" customHeight="1">
      <c r="A24" s="13" t="s">
        <v>203</v>
      </c>
      <c r="B24" s="13" t="s">
        <v>426</v>
      </c>
    </row>
    <row r="25" spans="1:2" ht="15.75" customHeight="1">
      <c r="A25" s="13" t="s">
        <v>205</v>
      </c>
      <c r="B25" s="13" t="s">
        <v>426</v>
      </c>
    </row>
    <row r="26" spans="1:2" ht="15.75" customHeight="1">
      <c r="A26" s="13" t="s">
        <v>213</v>
      </c>
    </row>
    <row r="27" spans="1:2" ht="15.75" customHeight="1">
      <c r="A27" s="13" t="s">
        <v>57</v>
      </c>
      <c r="B27" s="13" t="s">
        <v>426</v>
      </c>
    </row>
    <row r="28" spans="1:2" ht="15.75" customHeight="1">
      <c r="A28" s="13" t="s">
        <v>428</v>
      </c>
    </row>
    <row r="29" spans="1:2" ht="15.75" customHeight="1">
      <c r="A29" s="13" t="s">
        <v>215</v>
      </c>
    </row>
    <row r="30" spans="1:2" ht="15.75" customHeight="1">
      <c r="A30" s="13" t="s">
        <v>429</v>
      </c>
      <c r="B30" s="13" t="s">
        <v>426</v>
      </c>
    </row>
    <row r="31" spans="1:2" ht="15.75" customHeight="1">
      <c r="A31" s="13" t="s">
        <v>207</v>
      </c>
      <c r="B31" s="13" t="s">
        <v>426</v>
      </c>
    </row>
    <row r="32" spans="1:2" ht="15.75" customHeight="1">
      <c r="A32" s="13" t="s">
        <v>38</v>
      </c>
      <c r="B32" s="13" t="s">
        <v>426</v>
      </c>
    </row>
    <row r="33" spans="1:2" ht="15.75" customHeight="1">
      <c r="A33" s="13" t="s">
        <v>217</v>
      </c>
    </row>
    <row r="34" spans="1:2" ht="15.75" customHeight="1">
      <c r="A34" s="13" t="s">
        <v>430</v>
      </c>
      <c r="B34" s="13" t="s">
        <v>426</v>
      </c>
    </row>
    <row r="35" spans="1:2" ht="15.75" customHeight="1">
      <c r="A35" s="13" t="s">
        <v>65</v>
      </c>
      <c r="B35" s="13" t="s">
        <v>426</v>
      </c>
    </row>
    <row r="36" spans="1:2" ht="15.75" customHeight="1">
      <c r="A36" s="13" t="s">
        <v>86</v>
      </c>
      <c r="B36" s="13" t="s">
        <v>426</v>
      </c>
    </row>
    <row r="37" spans="1:2" ht="15.75" customHeight="1">
      <c r="A37" s="13" t="s">
        <v>431</v>
      </c>
    </row>
    <row r="38" spans="1:2" ht="15.75" customHeight="1">
      <c r="A38" s="13" t="s">
        <v>432</v>
      </c>
    </row>
    <row r="39" spans="1:2" ht="15.75" customHeight="1">
      <c r="A39" s="13" t="s">
        <v>90</v>
      </c>
      <c r="B39" s="13" t="s">
        <v>426</v>
      </c>
    </row>
    <row r="40" spans="1:2" ht="15.75" customHeight="1">
      <c r="A40" s="13" t="s">
        <v>433</v>
      </c>
    </row>
    <row r="41" spans="1:2" ht="15.75" customHeight="1">
      <c r="A41" s="13" t="s">
        <v>69</v>
      </c>
      <c r="B41" s="13" t="s">
        <v>426</v>
      </c>
    </row>
    <row r="42" spans="1:2" ht="15.75" customHeight="1">
      <c r="A42" s="13" t="s">
        <v>73</v>
      </c>
      <c r="B42" s="13" t="s">
        <v>426</v>
      </c>
    </row>
    <row r="43" spans="1:2" ht="15.75" customHeight="1">
      <c r="A43" s="13" t="s">
        <v>78</v>
      </c>
      <c r="B43" s="13" t="s">
        <v>426</v>
      </c>
    </row>
    <row r="44" spans="1:2" ht="15.75" customHeight="1">
      <c r="A44" s="13" t="s">
        <v>434</v>
      </c>
    </row>
    <row r="45" spans="1:2" ht="15.75" customHeight="1">
      <c r="A45" s="13" t="s">
        <v>82</v>
      </c>
      <c r="B45" s="13" t="s">
        <v>426</v>
      </c>
    </row>
    <row r="46" spans="1:2" ht="15.75" customHeight="1">
      <c r="A46" s="13" t="s">
        <v>94</v>
      </c>
      <c r="B46" s="13" t="s">
        <v>426</v>
      </c>
    </row>
    <row r="47" spans="1:2" ht="15.75" customHeight="1">
      <c r="A47" s="13" t="s">
        <v>435</v>
      </c>
    </row>
    <row r="48" spans="1:2" ht="15.75" customHeight="1">
      <c r="A48" s="13" t="s">
        <v>436</v>
      </c>
    </row>
    <row r="49" spans="1:3" ht="15.75" customHeight="1">
      <c r="A49" s="13" t="s">
        <v>437</v>
      </c>
    </row>
    <row r="50" spans="1:3" ht="15.75" customHeight="1">
      <c r="A50" s="13" t="s">
        <v>98</v>
      </c>
      <c r="B50" s="13" t="s">
        <v>426</v>
      </c>
    </row>
    <row r="51" spans="1:3" ht="15.75" customHeight="1">
      <c r="A51" s="13" t="s">
        <v>102</v>
      </c>
      <c r="B51" s="13" t="s">
        <v>426</v>
      </c>
    </row>
    <row r="52" spans="1:3" ht="15.75" customHeight="1">
      <c r="A52" s="13" t="s">
        <v>438</v>
      </c>
    </row>
    <row r="53" spans="1:3" ht="15.75" customHeight="1">
      <c r="A53" s="13" t="s">
        <v>439</v>
      </c>
    </row>
    <row r="54" spans="1:3" ht="15.75" customHeight="1">
      <c r="A54" s="13" t="s">
        <v>231</v>
      </c>
      <c r="B54" s="13" t="s">
        <v>426</v>
      </c>
      <c r="C54" s="13" t="s">
        <v>440</v>
      </c>
    </row>
    <row r="55" spans="1:3" ht="15.75" customHeight="1">
      <c r="A55" s="13" t="s">
        <v>441</v>
      </c>
    </row>
    <row r="56" spans="1:3" ht="15.75" customHeight="1">
      <c r="A56" s="13" t="s">
        <v>442</v>
      </c>
    </row>
    <row r="57" spans="1:3" ht="15.75" customHeight="1">
      <c r="A57" s="13" t="s">
        <v>132</v>
      </c>
      <c r="B57" s="13" t="s">
        <v>426</v>
      </c>
    </row>
    <row r="58" spans="1:3" ht="15.75" customHeight="1">
      <c r="A58" s="13" t="s">
        <v>139</v>
      </c>
      <c r="B58" s="13" t="s">
        <v>426</v>
      </c>
    </row>
    <row r="59" spans="1:3" ht="15.75" customHeight="1">
      <c r="A59" s="13" t="s">
        <v>443</v>
      </c>
    </row>
    <row r="60" spans="1:3" ht="15.75" customHeight="1">
      <c r="A60" s="13" t="s">
        <v>444</v>
      </c>
    </row>
    <row r="61" spans="1:3" ht="15.75" customHeight="1">
      <c r="A61" s="13" t="s">
        <v>445</v>
      </c>
    </row>
    <row r="62" spans="1:3" ht="15.75" customHeight="1">
      <c r="A62" s="13" t="s">
        <v>155</v>
      </c>
      <c r="B62" s="13" t="s">
        <v>426</v>
      </c>
    </row>
    <row r="63" spans="1:3" ht="15.75" customHeight="1">
      <c r="A63" s="13" t="s">
        <v>446</v>
      </c>
    </row>
    <row r="64" spans="1:3" ht="15.75" customHeight="1">
      <c r="A64" s="13" t="s">
        <v>447</v>
      </c>
    </row>
    <row r="65" spans="1:2" ht="15.75" customHeight="1">
      <c r="A65" s="13" t="s">
        <v>448</v>
      </c>
    </row>
    <row r="66" spans="1:2" ht="15.75" customHeight="1">
      <c r="A66" s="13" t="s">
        <v>142</v>
      </c>
      <c r="B66" s="13" t="s">
        <v>426</v>
      </c>
    </row>
    <row r="67" spans="1:2" ht="15.75" customHeight="1">
      <c r="A67" s="13" t="s">
        <v>449</v>
      </c>
    </row>
    <row r="68" spans="1:2" ht="15.75" customHeight="1">
      <c r="A68" s="13" t="s">
        <v>164</v>
      </c>
      <c r="B68" s="13" t="s">
        <v>426</v>
      </c>
    </row>
    <row r="69" spans="1:2" ht="15.75" customHeight="1">
      <c r="A69" s="13" t="s">
        <v>235</v>
      </c>
      <c r="B69" s="13" t="s">
        <v>426</v>
      </c>
    </row>
    <row r="70" spans="1:2" ht="15.75" customHeight="1">
      <c r="A70" s="13" t="s">
        <v>450</v>
      </c>
    </row>
    <row r="71" spans="1:2" ht="15.75" customHeight="1">
      <c r="A71" s="13" t="s">
        <v>239</v>
      </c>
      <c r="B71" s="13" t="s">
        <v>426</v>
      </c>
    </row>
    <row r="72" spans="1:2" ht="15.75" customHeight="1">
      <c r="A72" s="13" t="s">
        <v>451</v>
      </c>
    </row>
    <row r="73" spans="1:2" ht="15.75" customHeight="1">
      <c r="A73" s="13" t="s">
        <v>221</v>
      </c>
      <c r="B73" s="13" t="s">
        <v>426</v>
      </c>
    </row>
    <row r="74" spans="1:2" ht="15.75" customHeight="1">
      <c r="A74" s="13" t="s">
        <v>167</v>
      </c>
      <c r="B74" s="13" t="s">
        <v>426</v>
      </c>
    </row>
    <row r="75" spans="1:2" ht="15.75" customHeight="1">
      <c r="A75" s="13" t="s">
        <v>452</v>
      </c>
    </row>
    <row r="76" spans="1:2" ht="15.75" customHeight="1">
      <c r="A76" s="13" t="s">
        <v>453</v>
      </c>
    </row>
    <row r="77" spans="1:2" ht="15.75" customHeight="1">
      <c r="A77" s="13" t="s">
        <v>224</v>
      </c>
      <c r="B77" s="13" t="s">
        <v>426</v>
      </c>
    </row>
    <row r="78" spans="1:2" ht="15.75" customHeight="1">
      <c r="A78" s="13" t="s">
        <v>454</v>
      </c>
    </row>
    <row r="79" spans="1:2" ht="15.75" customHeight="1">
      <c r="A79" s="13" t="s">
        <v>227</v>
      </c>
      <c r="B79" s="13" t="s">
        <v>426</v>
      </c>
    </row>
    <row r="80" spans="1:2" ht="15.75" customHeight="1">
      <c r="A80" s="13" t="s">
        <v>455</v>
      </c>
    </row>
    <row r="81" spans="1:2" ht="15.75" customHeight="1">
      <c r="A81" s="13" t="s">
        <v>158</v>
      </c>
      <c r="B81" s="13" t="s">
        <v>426</v>
      </c>
    </row>
    <row r="82" spans="1:2" ht="15.75" customHeight="1">
      <c r="A82" s="13" t="s">
        <v>145</v>
      </c>
      <c r="B82" s="13" t="s">
        <v>426</v>
      </c>
    </row>
    <row r="83" spans="1:2" ht="15.75" customHeight="1">
      <c r="A83" s="13" t="s">
        <v>456</v>
      </c>
    </row>
    <row r="84" spans="1:2" ht="15.75" customHeight="1">
      <c r="A84" s="13" t="s">
        <v>457</v>
      </c>
    </row>
    <row r="85" spans="1:2" ht="15.75" customHeight="1">
      <c r="A85" s="13" t="s">
        <v>161</v>
      </c>
      <c r="B85" s="13" t="s">
        <v>426</v>
      </c>
    </row>
    <row r="86" spans="1:2" ht="15.75" customHeight="1">
      <c r="A86" s="13" t="s">
        <v>458</v>
      </c>
    </row>
    <row r="87" spans="1:2" ht="15.75" customHeight="1">
      <c r="A87" s="13" t="s">
        <v>148</v>
      </c>
      <c r="B87" s="13" t="s">
        <v>426</v>
      </c>
    </row>
    <row r="88" spans="1:2" ht="13">
      <c r="A88" s="13" t="s">
        <v>151</v>
      </c>
      <c r="B88" s="13" t="s">
        <v>426</v>
      </c>
    </row>
    <row r="89" spans="1:2" ht="13">
      <c r="A89" s="13" t="s">
        <v>459</v>
      </c>
    </row>
    <row r="90" spans="1:2" ht="13">
      <c r="A90" s="13" t="s">
        <v>460</v>
      </c>
      <c r="B90" s="13" t="s">
        <v>426</v>
      </c>
    </row>
    <row r="91" spans="1:2" ht="13">
      <c r="A91" s="13" t="s">
        <v>169</v>
      </c>
      <c r="B91" s="13" t="s">
        <v>426</v>
      </c>
    </row>
    <row r="92" spans="1:2" ht="13">
      <c r="A92" s="13" t="s">
        <v>174</v>
      </c>
      <c r="B92" s="13" t="s">
        <v>426</v>
      </c>
    </row>
    <row r="93" spans="1:2" ht="13">
      <c r="A93" s="13" t="s">
        <v>174</v>
      </c>
    </row>
    <row r="94" spans="1:2" ht="13">
      <c r="A94" s="13" t="s">
        <v>461</v>
      </c>
    </row>
    <row r="95" spans="1:2" ht="13">
      <c r="A95" s="13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8.6640625" customWidth="1"/>
  </cols>
  <sheetData>
    <row r="1" spans="1:6" ht="13">
      <c r="A1" s="55" t="str">
        <f ca="1">IFERROR(__xludf.DUMMYFUNCTION("FILTER('LIST OF ASSETS'!B:G, 'LIST OF ASSETS'!F:F &lt;&gt; """")"),"Serial Number")</f>
        <v>Serial Number</v>
      </c>
      <c r="B1" s="55" t="str">
        <f ca="1">IFERROR(__xludf.DUMMYFUNCTION("""COMPUTED_VALUE"""),"Service Tag")</f>
        <v>Service Tag</v>
      </c>
      <c r="C1" s="55" t="str">
        <f ca="1">IFERROR(__xludf.DUMMYFUNCTION("""COMPUTED_VALUE"""),"Item Name")</f>
        <v>Item Name</v>
      </c>
      <c r="D1" s="55" t="str">
        <f ca="1">IFERROR(__xludf.DUMMYFUNCTION("""COMPUTED_VALUE"""),"Set")</f>
        <v>Set</v>
      </c>
      <c r="E1" s="55" t="str">
        <f ca="1">IFERROR(__xludf.DUMMYFUNCTION("""COMPUTED_VALUE"""),"CS Name")</f>
        <v>CS Name</v>
      </c>
      <c r="F1" s="55" t="str">
        <f ca="1">IFERROR(__xludf.DUMMYFUNCTION("""COMPUTED_VALUE"""),"Model")</f>
        <v>Model</v>
      </c>
    </row>
    <row r="2" spans="1:6" ht="13">
      <c r="A2">
        <f ca="1">IFERROR(__xludf.DUMMYFUNCTION("""COMPUTED_VALUE"""),4897721918)</f>
        <v>4897721918</v>
      </c>
      <c r="B2" t="str">
        <f ca="1">IFERROR(__xludf.DUMMYFUNCTION("""COMPUTED_VALUE"""),"28ZZ6F2")</f>
        <v>28ZZ6F2</v>
      </c>
      <c r="C2" t="str">
        <f ca="1">IFERROR(__xludf.DUMMYFUNCTION("""COMPUTED_VALUE"""),"WTS PC 20")</f>
        <v>WTS PC 20</v>
      </c>
      <c r="D2">
        <f ca="1">IFERROR(__xludf.DUMMYFUNCTION("""COMPUTED_VALUE"""),1)</f>
        <v>1</v>
      </c>
      <c r="E2" t="str">
        <f ca="1">IFERROR(__xludf.DUMMYFUNCTION("""COMPUTED_VALUE"""),"Boole")</f>
        <v>Boole</v>
      </c>
      <c r="F2" t="str">
        <f ca="1">IFERROR(__xludf.DUMMYFUNCTION("""COMPUTED_VALUE"""),"Dell Laptop")</f>
        <v>Dell Laptop</v>
      </c>
    </row>
    <row r="3" spans="1:6" ht="13">
      <c r="A3">
        <f ca="1">IFERROR(__xludf.DUMMYFUNCTION("""COMPUTED_VALUE"""),8529466430)</f>
        <v>8529466430</v>
      </c>
      <c r="B3" t="str">
        <f ca="1">IFERROR(__xludf.DUMMYFUNCTION("""COMPUTED_VALUE"""),"3X282F2")</f>
        <v>3X282F2</v>
      </c>
      <c r="C3" t="str">
        <f ca="1">IFERROR(__xludf.DUMMYFUNCTION("""COMPUTED_VALUE"""),"WTS PC 08")</f>
        <v>WTS PC 08</v>
      </c>
      <c r="D3">
        <f ca="1">IFERROR(__xludf.DUMMYFUNCTION("""COMPUTED_VALUE"""),1)</f>
        <v>1</v>
      </c>
      <c r="E3" t="str">
        <f ca="1">IFERROR(__xludf.DUMMYFUNCTION("""COMPUTED_VALUE"""),"Brin")</f>
        <v>Brin</v>
      </c>
      <c r="F3" t="str">
        <f ca="1">IFERROR(__xludf.DUMMYFUNCTION("""COMPUTED_VALUE"""),"Dell Laptop")</f>
        <v>Dell Laptop</v>
      </c>
    </row>
    <row r="4" spans="1:6" ht="83.25" customHeight="1">
      <c r="A4">
        <f ca="1">IFERROR(__xludf.DUMMYFUNCTION("""COMPUTED_VALUE"""),9130354238)</f>
        <v>9130354238</v>
      </c>
      <c r="B4" t="str">
        <f ca="1">IFERROR(__xludf.DUMMYFUNCTION("""COMPUTED_VALUE"""),"46ZZ6F2")</f>
        <v>46ZZ6F2</v>
      </c>
      <c r="C4" t="str">
        <f ca="1">IFERROR(__xludf.DUMMYFUNCTION("""COMPUTED_VALUE"""),"WTS PC 32")</f>
        <v>WTS PC 32</v>
      </c>
      <c r="D4">
        <f ca="1">IFERROR(__xludf.DUMMYFUNCTION("""COMPUTED_VALUE"""),1)</f>
        <v>1</v>
      </c>
      <c r="E4" t="str">
        <f ca="1">IFERROR(__xludf.DUMMYFUNCTION("""COMPUTED_VALUE"""),"Cerf")</f>
        <v>Cerf</v>
      </c>
      <c r="F4" t="str">
        <f ca="1">IFERROR(__xludf.DUMMYFUNCTION("""COMPUTED_VALUE"""),"Dell Laptop")</f>
        <v>Dell Laptop</v>
      </c>
    </row>
    <row r="5" spans="1:6" ht="13">
      <c r="A5">
        <f ca="1">IFERROR(__xludf.DUMMYFUNCTION("""COMPUTED_VALUE"""),21590160446)</f>
        <v>21590160446</v>
      </c>
      <c r="B5" t="str">
        <f ca="1">IFERROR(__xludf.DUMMYFUNCTION("""COMPUTED_VALUE"""),"9X282F2")</f>
        <v>9X282F2</v>
      </c>
      <c r="C5" t="str">
        <f ca="1">IFERROR(__xludf.DUMMYFUNCTION("""COMPUTED_VALUE"""),"WTS PC 10")</f>
        <v>WTS PC 10</v>
      </c>
      <c r="D5">
        <f ca="1">IFERROR(__xludf.DUMMYFUNCTION("""COMPUTED_VALUE"""),1)</f>
        <v>1</v>
      </c>
      <c r="E5" t="str">
        <f ca="1">IFERROR(__xludf.DUMMYFUNCTION("""COMPUTED_VALUE"""),"Engelbart")</f>
        <v>Engelbart</v>
      </c>
      <c r="F5" t="str">
        <f ca="1">IFERROR(__xludf.DUMMYFUNCTION("""COMPUTED_VALUE"""),"Dell Laptop")</f>
        <v>Dell Laptop</v>
      </c>
    </row>
    <row r="6" spans="1:6" ht="13">
      <c r="A6">
        <f ca="1">IFERROR(__xludf.DUMMYFUNCTION("""COMPUTED_VALUE"""),34949459342)</f>
        <v>34949459342</v>
      </c>
      <c r="B6" t="str">
        <f ca="1">IFERROR(__xludf.DUMMYFUNCTION("""COMPUTED_VALUE"""),"G2007F2")</f>
        <v>G2007F2</v>
      </c>
      <c r="C6" t="str">
        <f ca="1">IFERROR(__xludf.DUMMYFUNCTION("""COMPUTED_VALUE"""),"WTS PC 39")</f>
        <v>WTS PC 39</v>
      </c>
      <c r="D6">
        <f ca="1">IFERROR(__xludf.DUMMYFUNCTION("""COMPUTED_VALUE"""),1)</f>
        <v>1</v>
      </c>
      <c r="E6" t="str">
        <f ca="1">IFERROR(__xludf.DUMMYFUNCTION("""COMPUTED_VALUE"""),"Gray")</f>
        <v>Gray</v>
      </c>
      <c r="F6" t="str">
        <f ca="1">IFERROR(__xludf.DUMMYFUNCTION("""COMPUTED_VALUE"""),"Dell Laptop")</f>
        <v>Dell Laptop</v>
      </c>
    </row>
    <row r="7" spans="1:6" ht="13">
      <c r="A7">
        <f ca="1">IFERROR(__xludf.DUMMYFUNCTION("""COMPUTED_VALUE"""),2479074878)</f>
        <v>2479074878</v>
      </c>
      <c r="B7" t="str">
        <f ca="1">IFERROR(__xludf.DUMMYFUNCTION("""COMPUTED_VALUE"""),"14ZZ6F2")</f>
        <v>14ZZ6F2</v>
      </c>
      <c r="C7" t="str">
        <f ca="1">IFERROR(__xludf.DUMMYFUNCTION("""COMPUTED_VALUE"""),"WTS PC 33")</f>
        <v>WTS PC 33</v>
      </c>
      <c r="D7">
        <f ca="1">IFERROR(__xludf.DUMMYFUNCTION("""COMPUTED_VALUE"""),2)</f>
        <v>2</v>
      </c>
      <c r="E7" t="str">
        <f ca="1">IFERROR(__xludf.DUMMYFUNCTION("""COMPUTED_VALUE"""),"Adleman")</f>
        <v>Adleman</v>
      </c>
      <c r="F7" t="str">
        <f ca="1">IFERROR(__xludf.DUMMYFUNCTION("""COMPUTED_VALUE"""),"Dell Laptop")</f>
        <v>Dell Laptop</v>
      </c>
    </row>
    <row r="8" spans="1:6" ht="13">
      <c r="A8">
        <f ca="1">IFERROR(__xludf.DUMMYFUNCTION("""COMPUTED_VALUE"""),13423452734)</f>
        <v>13423452734</v>
      </c>
      <c r="B8" t="str">
        <f ca="1">IFERROR(__xludf.DUMMYFUNCTION("""COMPUTED_VALUE"""),"65ZZ6F2")</f>
        <v>65ZZ6F2</v>
      </c>
      <c r="C8" t="str">
        <f ca="1">IFERROR(__xludf.DUMMYFUNCTION("""COMPUTED_VALUE"""),"WTS PC 23")</f>
        <v>WTS PC 23</v>
      </c>
      <c r="D8">
        <f ca="1">IFERROR(__xludf.DUMMYFUNCTION("""COMPUTED_VALUE"""),2)</f>
        <v>2</v>
      </c>
      <c r="E8" t="str">
        <f ca="1">IFERROR(__xludf.DUMMYFUNCTION("""COMPUTED_VALUE"""),"Conway")</f>
        <v>Conway</v>
      </c>
      <c r="F8" t="str">
        <f ca="1">IFERROR(__xludf.DUMMYFUNCTION("""COMPUTED_VALUE"""),"Dell Laptop")</f>
        <v>Dell Laptop</v>
      </c>
    </row>
    <row r="9" spans="1:6" ht="13">
      <c r="A9">
        <f ca="1">IFERROR(__xludf.DUMMYFUNCTION("""COMPUTED_VALUE"""),17860437038)</f>
        <v>17860437038</v>
      </c>
      <c r="B9" t="str">
        <f ca="1">IFERROR(__xludf.DUMMYFUNCTION("""COMPUTED_VALUE"""),"87DN5F2")</f>
        <v>87DN5F2</v>
      </c>
      <c r="C9" t="str">
        <f ca="1">IFERROR(__xludf.DUMMYFUNCTION("""COMPUTED_VALUE"""),"WTS PC 11")</f>
        <v>WTS PC 11</v>
      </c>
      <c r="D9">
        <f ca="1">IFERROR(__xludf.DUMMYFUNCTION("""COMPUTED_VALUE"""),2)</f>
        <v>2</v>
      </c>
      <c r="E9" t="str">
        <f ca="1">IFERROR(__xludf.DUMMYFUNCTION("""COMPUTED_VALUE"""),"Dijkstra")</f>
        <v>Dijkstra</v>
      </c>
      <c r="F9" t="str">
        <f ca="1">IFERROR(__xludf.DUMMYFUNCTION("""COMPUTED_VALUE"""),"Dell Laptop")</f>
        <v>Dell Laptop</v>
      </c>
    </row>
    <row r="10" spans="1:6" ht="13">
      <c r="A10">
        <f ca="1">IFERROR(__xludf.DUMMYFUNCTION("""COMPUTED_VALUE"""),26544612926)</f>
        <v>26544612926</v>
      </c>
      <c r="B10" t="str">
        <f ca="1">IFERROR(__xludf.DUMMYFUNCTION("""COMPUTED_VALUE"""),"C6ZZ6F2")</f>
        <v>C6ZZ6F2</v>
      </c>
      <c r="C10" t="str">
        <f ca="1">IFERROR(__xludf.DUMMYFUNCTION("""COMPUTED_VALUE"""),"WTS PC 24")</f>
        <v>WTS PC 24</v>
      </c>
      <c r="D10">
        <f ca="1">IFERROR(__xludf.DUMMYFUNCTION("""COMPUTED_VALUE"""),2)</f>
        <v>2</v>
      </c>
      <c r="E10" t="str">
        <f ca="1">IFERROR(__xludf.DUMMYFUNCTION("""COMPUTED_VALUE"""),"Fredkin")</f>
        <v>Fredkin</v>
      </c>
      <c r="F10" t="str">
        <f ca="1">IFERROR(__xludf.DUMMYFUNCTION("""COMPUTED_VALUE"""),"Dell Laptop")</f>
        <v>Dell Laptop</v>
      </c>
    </row>
    <row r="11" spans="1:6" ht="13">
      <c r="A11" s="13">
        <f ca="1">IFERROR(__xludf.DUMMYFUNCTION("""COMPUTED_VALUE"""),34992066854)</f>
        <v>34992066854</v>
      </c>
      <c r="B11" s="13" t="str">
        <f ca="1">IFERROR(__xludf.DUMMYFUNCTION("""COMPUTED_VALUE"""),"G2PDFL2")</f>
        <v>G2PDFL2</v>
      </c>
      <c r="C11" s="13" t="str">
        <f ca="1">IFERROR(__xludf.DUMMYFUNCTION("""COMPUTED_VALUE"""),"WTS PC 44")</f>
        <v>WTS PC 44</v>
      </c>
      <c r="D11" s="13">
        <f ca="1">IFERROR(__xludf.DUMMYFUNCTION("""COMPUTED_VALUE"""),2)</f>
        <v>2</v>
      </c>
      <c r="E11" s="13" t="str">
        <f ca="1">IFERROR(__xludf.DUMMYFUNCTION("""COMPUTED_VALUE"""),"Gosling")</f>
        <v>Gosling</v>
      </c>
      <c r="F11" t="str">
        <f ca="1">IFERROR(__xludf.DUMMYFUNCTION("""COMPUTED_VALUE"""),"Dell Laptop")</f>
        <v>Dell Laptop</v>
      </c>
    </row>
    <row r="12" spans="1:6" ht="13">
      <c r="A12" s="13">
        <f ca="1">IFERROR(__xludf.DUMMYFUNCTION("""COMPUTED_VALUE"""),15059813438)</f>
        <v>15059813438</v>
      </c>
      <c r="B12" s="13" t="str">
        <f ca="1">IFERROR(__xludf.DUMMYFUNCTION("""COMPUTED_VALUE"""),"6X282F2")</f>
        <v>6X282F2</v>
      </c>
      <c r="C12" s="13" t="str">
        <f ca="1">IFERROR(__xludf.DUMMYFUNCTION("""COMPUTED_VALUE"""),"WTS PC 01")</f>
        <v>WTS PC 01</v>
      </c>
      <c r="D12" s="13">
        <f ca="1">IFERROR(__xludf.DUMMYFUNCTION("""COMPUTED_VALUE"""),3)</f>
        <v>3</v>
      </c>
      <c r="E12" s="13" t="str">
        <f ca="1">IFERROR(__xludf.DUMMYFUNCTION("""COMPUTED_VALUE"""),"Hellman")</f>
        <v>Hellman</v>
      </c>
      <c r="F12" t="str">
        <f ca="1">IFERROR(__xludf.DUMMYFUNCTION("""COMPUTED_VALUE"""),"Dell Laptop")</f>
        <v>Dell Laptop</v>
      </c>
    </row>
    <row r="13" spans="1:6" ht="13">
      <c r="A13">
        <f ca="1">IFERROR(__xludf.DUMMYFUNCTION("""COMPUTED_VALUE"""),30353982014)</f>
        <v>30353982014</v>
      </c>
      <c r="B13" t="str">
        <f ca="1">IFERROR(__xludf.DUMMYFUNCTION("""COMPUTED_VALUE"""),"DXZZ6F2")</f>
        <v>DXZZ6F2</v>
      </c>
      <c r="C13" t="str">
        <f ca="1">IFERROR(__xludf.DUMMYFUNCTION("""COMPUTED_VALUE"""),"WTS PC 17")</f>
        <v>WTS PC 17</v>
      </c>
      <c r="D13">
        <f ca="1">IFERROR(__xludf.DUMMYFUNCTION("""COMPUTED_VALUE"""),3)</f>
        <v>3</v>
      </c>
      <c r="E13" t="str">
        <f ca="1">IFERROR(__xludf.DUMMYFUNCTION("""COMPUTED_VALUE"""),"Kahn")</f>
        <v>Kahn</v>
      </c>
      <c r="F13" t="str">
        <f ca="1">IFERROR(__xludf.DUMMYFUNCTION("""COMPUTED_VALUE"""),"Dell Laptop")</f>
        <v>Dell Laptop</v>
      </c>
    </row>
    <row r="14" spans="1:6" ht="13">
      <c r="A14" s="13">
        <f ca="1">IFERROR(__xludf.DUMMYFUNCTION("""COMPUTED_VALUE"""),37146431054)</f>
        <v>37146431054</v>
      </c>
      <c r="B14" s="13" t="str">
        <f ca="1">IFERROR(__xludf.DUMMYFUNCTION("""COMPUTED_VALUE"""),"H2C0XN2")</f>
        <v>H2C0XN2</v>
      </c>
      <c r="C14" s="13" t="str">
        <f ca="1">IFERROR(__xludf.DUMMYFUNCTION("""COMPUTED_VALUE"""),"WTS PC 48")</f>
        <v>WTS PC 48</v>
      </c>
      <c r="D14" s="13">
        <f ca="1">IFERROR(__xludf.DUMMYFUNCTION("""COMPUTED_VALUE"""),3)</f>
        <v>3</v>
      </c>
      <c r="E14" s="13" t="str">
        <f ca="1">IFERROR(__xludf.DUMMYFUNCTION("""COMPUTED_VALUE"""),"Karp")</f>
        <v>Karp</v>
      </c>
      <c r="F14" t="str">
        <f ca="1">IFERROR(__xludf.DUMMYFUNCTION("""COMPUTED_VALUE"""),"Dell Laptop")</f>
        <v>Dell Laptop</v>
      </c>
    </row>
    <row r="15" spans="1:6" ht="13">
      <c r="A15">
        <f ca="1">IFERROR(__xludf.DUMMYFUNCTION("""COMPUTED_VALUE"""),41522413862)</f>
        <v>41522413862</v>
      </c>
      <c r="B15" t="str">
        <f ca="1">IFERROR(__xludf.DUMMYFUNCTION("""COMPUTED_VALUE"""),"J2PDFL2")</f>
        <v>J2PDFL2</v>
      </c>
      <c r="C15" t="str">
        <f ca="1">IFERROR(__xludf.DUMMYFUNCTION("""COMPUTED_VALUE"""),"WTS PC 43")</f>
        <v>WTS PC 43</v>
      </c>
      <c r="D15">
        <f ca="1">IFERROR(__xludf.DUMMYFUNCTION("""COMPUTED_VALUE"""),3)</f>
        <v>3</v>
      </c>
      <c r="E15" t="str">
        <f ca="1">IFERROR(__xludf.DUMMYFUNCTION("""COMPUTED_VALUE"""),"Kay")</f>
        <v>Kay</v>
      </c>
      <c r="F15" t="str">
        <f ca="1">IFERROR(__xludf.DUMMYFUNCTION("""COMPUTED_VALUE"""),"Dell Laptop")</f>
        <v>Dell Laptop</v>
      </c>
    </row>
    <row r="16" spans="1:6" ht="13">
      <c r="A16" s="13">
        <f ca="1">IFERROR(__xludf.DUMMYFUNCTION("""COMPUTED_VALUE"""),5605505318)</f>
        <v>5605505318</v>
      </c>
      <c r="B16" s="13" t="str">
        <f ca="1">IFERROR(__xludf.DUMMYFUNCTION("""COMPUTED_VALUE"""),"2KPDFL2")</f>
        <v>2KPDFL2</v>
      </c>
      <c r="C16" s="13" t="str">
        <f ca="1">IFERROR(__xludf.DUMMYFUNCTION("""COMPUTED_VALUE"""),"WTS PC 42")</f>
        <v>WTS PC 42</v>
      </c>
      <c r="D16" s="13">
        <f ca="1">IFERROR(__xludf.DUMMYFUNCTION("""COMPUTED_VALUE"""),3)</f>
        <v>3</v>
      </c>
      <c r="E16" s="13" t="str">
        <f ca="1">IFERROR(__xludf.DUMMYFUNCTION("""COMPUTED_VALUE"""),"Knuth")</f>
        <v>Knuth</v>
      </c>
      <c r="F16" t="str">
        <f ca="1">IFERROR(__xludf.DUMMYFUNCTION("""COMPUTED_VALUE"""),"Dell Laptop")</f>
        <v>Dell Laptop</v>
      </c>
    </row>
    <row r="17" spans="1:6" ht="13">
      <c r="A17">
        <f ca="1">IFERROR(__xludf.DUMMYFUNCTION("""COMPUTED_VALUE"""),2400797990)</f>
        <v>2400797990</v>
      </c>
      <c r="B17" t="str">
        <f ca="1">IFERROR(__xludf.DUMMYFUNCTION("""COMPUTED_VALUE"""),"13PDFL2")</f>
        <v>13PDFL2</v>
      </c>
      <c r="C17" t="str">
        <f ca="1">IFERROR(__xludf.DUMMYFUNCTION("""COMPUTED_VALUE"""),"WTS PC 41")</f>
        <v>WTS PC 41</v>
      </c>
      <c r="D17">
        <f ca="1">IFERROR(__xludf.DUMMYFUNCTION("""COMPUTED_VALUE"""),4)</f>
        <v>4</v>
      </c>
      <c r="E17" t="str">
        <f ca="1">IFERROR(__xludf.DUMMYFUNCTION("""COMPUTED_VALUE"""),"Hoare")</f>
        <v>Hoare</v>
      </c>
      <c r="F17" t="str">
        <f ca="1">IFERROR(__xludf.DUMMYFUNCTION("""COMPUTED_VALUE"""),"Dell Laptop")</f>
        <v>Dell Laptop</v>
      </c>
    </row>
    <row r="18" spans="1:6" ht="13">
      <c r="A18">
        <f ca="1">IFERROR(__xludf.DUMMYFUNCTION("""COMPUTED_VALUE"""),2600007320)</f>
        <v>2600007320</v>
      </c>
      <c r="B18" t="str">
        <f ca="1">IFERROR(__xludf.DUMMYFUNCTION("""COMPUTED_VALUE"""),"16ZZ6F2")</f>
        <v>16ZZ6F2</v>
      </c>
      <c r="C18" t="str">
        <f ca="1">IFERROR(__xludf.DUMMYFUNCTION("""COMPUTED_VALUE"""),"WTS PC 16")</f>
        <v>WTS PC 16</v>
      </c>
      <c r="D18">
        <f ca="1">IFERROR(__xludf.DUMMYFUNCTION("""COMPUTED_VALUE"""),4)</f>
        <v>4</v>
      </c>
      <c r="E18" t="str">
        <f ca="1">IFERROR(__xludf.DUMMYFUNCTION("""COMPUTED_VALUE"""),"Iverson")</f>
        <v>Iverson</v>
      </c>
      <c r="F18" t="str">
        <f ca="1">IFERROR(__xludf.DUMMYFUNCTION("""COMPUTED_VALUE"""),"Dell Laptop")</f>
        <v>Dell Laptop</v>
      </c>
    </row>
    <row r="19" spans="1:6" ht="13">
      <c r="A19">
        <f ca="1">IFERROR(__xludf.DUMMYFUNCTION("""COMPUTED_VALUE"""),16083964478)</f>
        <v>16083964478</v>
      </c>
      <c r="B19" t="str">
        <f ca="1">IFERROR(__xludf.DUMMYFUNCTION("""COMPUTED_VALUE"""),"7DZZ6F2")</f>
        <v>7DZZ6F2</v>
      </c>
      <c r="C19" t="str">
        <f ca="1">IFERROR(__xludf.DUMMYFUNCTION("""COMPUTED_VALUE"""),"WTS PC 30")</f>
        <v>WTS PC 30</v>
      </c>
      <c r="D19">
        <f ca="1">IFERROR(__xludf.DUMMYFUNCTION("""COMPUTED_VALUE"""),4)</f>
        <v>4</v>
      </c>
      <c r="E19" t="str">
        <f ca="1">IFERROR(__xludf.DUMMYFUNCTION("""COMPUTED_VALUE"""),"Lamport")</f>
        <v>Lamport</v>
      </c>
      <c r="F19" t="str">
        <f ca="1">IFERROR(__xludf.DUMMYFUNCTION("""COMPUTED_VALUE"""),"Dell Laptop")</f>
        <v>Dell Laptop</v>
      </c>
    </row>
    <row r="20" spans="1:6" ht="13">
      <c r="A20" s="13">
        <f ca="1">IFERROR(__xludf.DUMMYFUNCTION("""COMPUTED_VALUE"""),19534310462)</f>
        <v>19534310462</v>
      </c>
      <c r="B20" s="13" t="str">
        <f ca="1">IFERROR(__xludf.DUMMYFUNCTION("""COMPUTED_VALUE"""),"8Z282F2")</f>
        <v>8Z282F2</v>
      </c>
      <c r="C20" s="13" t="str">
        <f ca="1">IFERROR(__xludf.DUMMYFUNCTION("""COMPUTED_VALUE"""),"WTS PC 03")</f>
        <v>WTS PC 03</v>
      </c>
      <c r="D20">
        <f ca="1">IFERROR(__xludf.DUMMYFUNCTION("""COMPUTED_VALUE"""),4)</f>
        <v>4</v>
      </c>
      <c r="E20" s="13" t="str">
        <f ca="1">IFERROR(__xludf.DUMMYFUNCTION("""COMPUTED_VALUE"""),"Liskov")</f>
        <v>Liskov</v>
      </c>
      <c r="F20" t="str">
        <f ca="1">IFERROR(__xludf.DUMMYFUNCTION("""COMPUTED_VALUE"""),"Dell Laptop")</f>
        <v>Dell Laptop</v>
      </c>
    </row>
    <row r="21" spans="1:6" ht="13">
      <c r="A21" s="13">
        <f ca="1">IFERROR(__xludf.DUMMYFUNCTION("""COMPUTED_VALUE"""),26262519734)</f>
        <v>26262519734</v>
      </c>
      <c r="B21" s="13" t="str">
        <f ca="1">IFERROR(__xludf.DUMMYFUNCTION("""COMPUTED_VALUE"""),"C2C0XN2")</f>
        <v>C2C0XN2</v>
      </c>
      <c r="C21" s="13" t="str">
        <f ca="1">IFERROR(__xludf.DUMMYFUNCTION("""COMPUTED_VALUE"""),"WTS PC 51")</f>
        <v>WTS PC 51</v>
      </c>
      <c r="D21" s="13">
        <f ca="1">IFERROR(__xludf.DUMMYFUNCTION("""COMPUTED_VALUE"""),4)</f>
        <v>4</v>
      </c>
      <c r="E21" s="13" t="str">
        <f ca="1">IFERROR(__xludf.DUMMYFUNCTION("""COMPUTED_VALUE"""),"McCarthy")</f>
        <v>McCarthy</v>
      </c>
      <c r="F21" t="str">
        <f ca="1">IFERROR(__xludf.DUMMYFUNCTION("""COMPUTED_VALUE"""),"Dell Laptop")</f>
        <v>Dell Laptop</v>
      </c>
    </row>
    <row r="22" spans="1:6" ht="13">
      <c r="A22">
        <f ca="1">IFERROR(__xludf.DUMMYFUNCTION("""COMPUTED_VALUE"""),2843599502)</f>
        <v>2843599502</v>
      </c>
      <c r="B22" t="str">
        <f ca="1">IFERROR(__xludf.DUMMYFUNCTION("""COMPUTED_VALUE"""),"1B107F2")</f>
        <v>1B107F2</v>
      </c>
      <c r="C22" t="str">
        <f ca="1">IFERROR(__xludf.DUMMYFUNCTION("""COMPUTED_VALUE"""),"WTS PC 29")</f>
        <v>WTS PC 29</v>
      </c>
      <c r="D22">
        <f ca="1">IFERROR(__xludf.DUMMYFUNCTION("""COMPUTED_VALUE"""),5)</f>
        <v>5</v>
      </c>
      <c r="E22" t="str">
        <f ca="1">IFERROR(__xludf.DUMMYFUNCTION("""COMPUTED_VALUE"""),"Babbage")</f>
        <v>Babbage</v>
      </c>
      <c r="F22" t="str">
        <f ca="1">IFERROR(__xludf.DUMMYFUNCTION("""COMPUTED_VALUE"""),"Dell Laptop")</f>
        <v>Dell Laptop</v>
      </c>
    </row>
    <row r="23" spans="1:6" ht="13">
      <c r="A23">
        <f ca="1">IFERROR(__xludf.DUMMYFUNCTION("""COMPUTED_VALUE"""),2915856974)</f>
        <v>2915856974</v>
      </c>
      <c r="B23" t="str">
        <f ca="1">IFERROR(__xludf.DUMMYFUNCTION("""COMPUTED_VALUE"""),"1C80XN2")</f>
        <v>1C80XN2</v>
      </c>
      <c r="C23" t="str">
        <f ca="1">IFERROR(__xludf.DUMMYFUNCTION("""COMPUTED_VALUE"""),"WTS PC 47")</f>
        <v>WTS PC 47</v>
      </c>
      <c r="D23">
        <f ca="1">IFERROR(__xludf.DUMMYFUNCTION("""COMPUTED_VALUE"""),5)</f>
        <v>5</v>
      </c>
      <c r="E23" t="str">
        <f ca="1">IFERROR(__xludf.DUMMYFUNCTION("""COMPUTED_VALUE"""),"Backus")</f>
        <v>Backus</v>
      </c>
      <c r="F23" t="str">
        <f ca="1">IFERROR(__xludf.DUMMYFUNCTION("""COMPUTED_VALUE"""),"Dell Laptop")</f>
        <v>Dell Laptop</v>
      </c>
    </row>
    <row r="24" spans="1:6" ht="13">
      <c r="A24">
        <f ca="1">IFERROR(__xludf.DUMMYFUNCTION("""COMPUTED_VALUE"""),4353526334)</f>
        <v>4353526334</v>
      </c>
      <c r="B24" t="str">
        <f ca="1">IFERROR(__xludf.DUMMYFUNCTION("""COMPUTED_VALUE"""),"1ZZZ6F2")</f>
        <v>1ZZZ6F2</v>
      </c>
      <c r="C24" t="str">
        <f ca="1">IFERROR(__xludf.DUMMYFUNCTION("""COMPUTED_VALUE"""),"WTS PC 37")</f>
        <v>WTS PC 37</v>
      </c>
      <c r="D24">
        <f ca="1">IFERROR(__xludf.DUMMYFUNCTION("""COMPUTED_VALUE"""),5)</f>
        <v>5</v>
      </c>
      <c r="E24" t="str">
        <f ca="1">IFERROR(__xludf.DUMMYFUNCTION("""COMPUTED_VALUE"""),"Berners-Lee")</f>
        <v>Berners-Lee</v>
      </c>
      <c r="F24" t="str">
        <f ca="1">IFERROR(__xludf.DUMMYFUNCTION("""COMPUTED_VALUE"""),"Dell Laptop")</f>
        <v>Dell Laptop</v>
      </c>
    </row>
    <row r="25" spans="1:6" ht="13">
      <c r="A25">
        <f ca="1">IFERROR(__xludf.DUMMYFUNCTION("""COMPUTED_VALUE"""),8589932606)</f>
        <v>8589932606</v>
      </c>
      <c r="B25" t="str">
        <f ca="1">IFERROR(__xludf.DUMMYFUNCTION("""COMPUTED_VALUE"""),"3Y282F2")</f>
        <v>3Y282F2</v>
      </c>
      <c r="C25" t="str">
        <f ca="1">IFERROR(__xludf.DUMMYFUNCTION("""COMPUTED_VALUE"""),"WTS PC 04")</f>
        <v>WTS PC 04</v>
      </c>
      <c r="D25">
        <f ca="1">IFERROR(__xludf.DUMMYFUNCTION("""COMPUTED_VALUE"""),5)</f>
        <v>5</v>
      </c>
      <c r="E25" t="str">
        <f ca="1">IFERROR(__xludf.DUMMYFUNCTION("""COMPUTED_VALUE"""),"Brooks")</f>
        <v>Brooks</v>
      </c>
      <c r="F25" t="str">
        <f ca="1">IFERROR(__xludf.DUMMYFUNCTION("""COMPUTED_VALUE"""),"Dell Laptop")</f>
        <v>Dell Laptop</v>
      </c>
    </row>
    <row r="26" spans="1:6" ht="13">
      <c r="A26" s="13">
        <f ca="1">IFERROR(__xludf.DUMMYFUNCTION("""COMPUTED_VALUE"""),24085737038)</f>
        <v>24085737038</v>
      </c>
      <c r="B26" s="13" t="str">
        <f ca="1">IFERROR(__xludf.DUMMYFUNCTION("""COMPUTED_VALUE"""),"B2C0XN2")</f>
        <v>B2C0XN2</v>
      </c>
      <c r="C26" s="13" t="str">
        <f ca="1">IFERROR(__xludf.DUMMYFUNCTION("""COMPUTED_VALUE"""),"WTS PC 49")</f>
        <v>WTS PC 49</v>
      </c>
      <c r="D26">
        <f ca="1">IFERROR(__xludf.DUMMYFUNCTION("""COMPUTED_VALUE"""),5)</f>
        <v>5</v>
      </c>
      <c r="E26" s="13" t="str">
        <f ca="1">IFERROR(__xludf.DUMMYFUNCTION("""COMPUTED_VALUE"""),"Erdos")</f>
        <v>Erdos</v>
      </c>
      <c r="F26" t="str">
        <f ca="1">IFERROR(__xludf.DUMMYFUNCTION("""COMPUTED_VALUE"""),"Dell Laptop")</f>
        <v>Dell Laptop</v>
      </c>
    </row>
    <row r="27" spans="1:6" ht="13">
      <c r="A27" s="13" t="str">
        <f ca="1">IFERROR(__xludf.DUMMYFUNCTION("""COMPUTED_VALUE"""),"PF3C9GLV")</f>
        <v>PF3C9GLV</v>
      </c>
      <c r="B27" s="13" t="str">
        <f ca="1">IFERROR(__xludf.DUMMYFUNCTION("""COMPUTED_VALUE"""),"PF3C9GLV")</f>
        <v>PF3C9GLV</v>
      </c>
      <c r="C27" s="13" t="str">
        <f ca="1">IFERROR(__xludf.DUMMYFUNCTION("""COMPUTED_VALUE"""),"Diffie")</f>
        <v>Diffie</v>
      </c>
      <c r="D27" s="13">
        <f ca="1">IFERROR(__xludf.DUMMYFUNCTION("""COMPUTED_VALUE"""),6)</f>
        <v>6</v>
      </c>
      <c r="E27" s="13" t="str">
        <f ca="1">IFERROR(__xludf.DUMMYFUNCTION("""COMPUTED_VALUE"""),"Diffie")</f>
        <v>Diffie</v>
      </c>
      <c r="F27" t="str">
        <f ca="1">IFERROR(__xludf.DUMMYFUNCTION("""COMPUTED_VALUE"""),"Lenovo Idea Pad 3")</f>
        <v>Lenovo Idea Pad 3</v>
      </c>
    </row>
    <row r="28" spans="1:6" ht="13">
      <c r="A28" t="str">
        <f ca="1">IFERROR(__xludf.DUMMYFUNCTION("""COMPUTED_VALUE"""),"PF3C8BXS")</f>
        <v>PF3C8BXS</v>
      </c>
      <c r="B28" t="str">
        <f ca="1">IFERROR(__xludf.DUMMYFUNCTION("""COMPUTED_VALUE"""),"PF3C8BXS")</f>
        <v>PF3C8BXS</v>
      </c>
      <c r="C28" t="str">
        <f ca="1">IFERROR(__xludf.DUMMYFUNCTION("""COMPUTED_VALUE"""),"Hoare")</f>
        <v>Hoare</v>
      </c>
      <c r="D28">
        <f ca="1">IFERROR(__xludf.DUMMYFUNCTION("""COMPUTED_VALUE"""),6)</f>
        <v>6</v>
      </c>
      <c r="E28" t="str">
        <f ca="1">IFERROR(__xludf.DUMMYFUNCTION("""COMPUTED_VALUE"""),"Hoare")</f>
        <v>Hoare</v>
      </c>
      <c r="F28" t="str">
        <f ca="1">IFERROR(__xludf.DUMMYFUNCTION("""COMPUTED_VALUE"""),"Lenovo Idea Pad 3")</f>
        <v>Lenovo Idea Pad 3</v>
      </c>
    </row>
    <row r="29" spans="1:6" ht="13">
      <c r="A29" t="str">
        <f ca="1">IFERROR(__xludf.DUMMYFUNCTION("""COMPUTED_VALUE"""),"PF3C89PK")</f>
        <v>PF3C89PK</v>
      </c>
      <c r="B29" t="str">
        <f ca="1">IFERROR(__xludf.DUMMYFUNCTION("""COMPUTED_VALUE"""),"PF3C89PK")</f>
        <v>PF3C89PK</v>
      </c>
      <c r="C29" t="str">
        <f ca="1">IFERROR(__xludf.DUMMYFUNCTION("""COMPUTED_VALUE"""),"Iverson")</f>
        <v>Iverson</v>
      </c>
      <c r="D29">
        <f ca="1">IFERROR(__xludf.DUMMYFUNCTION("""COMPUTED_VALUE"""),6)</f>
        <v>6</v>
      </c>
      <c r="E29" t="str">
        <f ca="1">IFERROR(__xludf.DUMMYFUNCTION("""COMPUTED_VALUE"""),"Iverson")</f>
        <v>Iverson</v>
      </c>
      <c r="F29" t="str">
        <f ca="1">IFERROR(__xludf.DUMMYFUNCTION("""COMPUTED_VALUE"""),"Lenovo Idea Pad 3")</f>
        <v>Lenovo Idea Pad 3</v>
      </c>
    </row>
    <row r="30" spans="1:6" ht="13">
      <c r="A30" t="str">
        <f ca="1">IFERROR(__xludf.DUMMYFUNCTION("""COMPUTED_VALUE"""),"SFVHHV4FTQ6L4")</f>
        <v>SFVHHV4FTQ6L4</v>
      </c>
      <c r="C30" t="str">
        <f ca="1">IFERROR(__xludf.DUMMYFUNCTION("""COMPUTED_VALUE"""),"WTS MBA 11")</f>
        <v>WTS MBA 11</v>
      </c>
      <c r="D30">
        <f ca="1">IFERROR(__xludf.DUMMYFUNCTION("""COMPUTED_VALUE"""),8)</f>
        <v>8</v>
      </c>
      <c r="E30" t="str">
        <f ca="1">IFERROR(__xludf.DUMMYFUNCTION("""COMPUTED_VALUE"""),"Newell")</f>
        <v>Newell</v>
      </c>
      <c r="F30" t="str">
        <f ca="1">IFERROR(__xludf.DUMMYFUNCTION("""COMPUTED_VALUE"""),"Mac Book Air")</f>
        <v>Mac Book Air</v>
      </c>
    </row>
    <row r="31" spans="1:6" ht="13">
      <c r="A31" t="str">
        <f ca="1">IFERROR(__xludf.DUMMYFUNCTION("""COMPUTED_VALUE"""),"SFVHHV4WDQ6L4")</f>
        <v>SFVHHV4WDQ6L4</v>
      </c>
      <c r="C31" t="str">
        <f ca="1">IFERROR(__xludf.DUMMYFUNCTION("""COMPUTED_VALUE"""),"WTS MBA 12")</f>
        <v>WTS MBA 12</v>
      </c>
      <c r="D31">
        <f ca="1">IFERROR(__xludf.DUMMYFUNCTION("""COMPUTED_VALUE"""),8)</f>
        <v>8</v>
      </c>
      <c r="E31" t="str">
        <f ca="1">IFERROR(__xludf.DUMMYFUNCTION("""COMPUTED_VALUE"""),"Nygaard")</f>
        <v>Nygaard</v>
      </c>
      <c r="F31" t="str">
        <f ca="1">IFERROR(__xludf.DUMMYFUNCTION("""COMPUTED_VALUE"""),"Mac Book Air")</f>
        <v>Mac Book Air</v>
      </c>
    </row>
    <row r="32" spans="1:6" ht="13">
      <c r="A32" t="str">
        <f ca="1">IFERROR(__xludf.DUMMYFUNCTION("""COMPUTED_VALUE"""),"SFVHHV5Q9Q6L4")</f>
        <v>SFVHHV5Q9Q6L4</v>
      </c>
      <c r="C32" t="str">
        <f ca="1">IFERROR(__xludf.DUMMYFUNCTION("""COMPUTED_VALUE"""),"WTS MBA 15")</f>
        <v>WTS MBA 15</v>
      </c>
      <c r="D32">
        <f ca="1">IFERROR(__xludf.DUMMYFUNCTION("""COMPUTED_VALUE"""),8)</f>
        <v>8</v>
      </c>
      <c r="E32" t="str">
        <f ca="1">IFERROR(__xludf.DUMMYFUNCTION("""COMPUTED_VALUE"""),"Rabin")</f>
        <v>Rabin</v>
      </c>
      <c r="F32" t="str">
        <f ca="1">IFERROR(__xludf.DUMMYFUNCTION("""COMPUTED_VALUE"""),"Mac Book Air")</f>
        <v>Mac Book Air</v>
      </c>
    </row>
    <row r="33" spans="1:6" ht="13">
      <c r="A33" t="str">
        <f ca="1">IFERROR(__xludf.DUMMYFUNCTION("""COMPUTED_VALUE"""),"SFVHHV6AYQ6L4")</f>
        <v>SFVHHV6AYQ6L4</v>
      </c>
      <c r="C33" t="str">
        <f ca="1">IFERROR(__xludf.DUMMYFUNCTION("""COMPUTED_VALUE"""),"WTS MBA 24")</f>
        <v>WTS MBA 24</v>
      </c>
      <c r="D33">
        <f ca="1">IFERROR(__xludf.DUMMYFUNCTION("""COMPUTED_VALUE"""),8)</f>
        <v>8</v>
      </c>
      <c r="E33" t="str">
        <f ca="1">IFERROR(__xludf.DUMMYFUNCTION("""COMPUTED_VALUE"""),"Sutherland")</f>
        <v>Sutherland</v>
      </c>
      <c r="F33" t="str">
        <f ca="1">IFERROR(__xludf.DUMMYFUNCTION("""COMPUTED_VALUE"""),"Mac Book Air")</f>
        <v>Mac Book Air</v>
      </c>
    </row>
    <row r="34" spans="1:6" ht="13">
      <c r="A34" t="str">
        <f ca="1">IFERROR(__xludf.DUMMYFUNCTION("""COMPUTED_VALUE"""),"SFVHHVD81Q6L4")</f>
        <v>SFVHHVD81Q6L4</v>
      </c>
      <c r="C34" t="str">
        <f ca="1">IFERROR(__xludf.DUMMYFUNCTION("""COMPUTED_VALUE"""),"WTS MBA 28")</f>
        <v>WTS MBA 28</v>
      </c>
      <c r="D34">
        <f ca="1">IFERROR(__xludf.DUMMYFUNCTION("""COMPUTED_VALUE"""),8)</f>
        <v>8</v>
      </c>
      <c r="E34" t="str">
        <f ca="1">IFERROR(__xludf.DUMMYFUNCTION("""COMPUTED_VALUE"""),"Torvalds")</f>
        <v>Torvalds</v>
      </c>
      <c r="F34" t="str">
        <f ca="1">IFERROR(__xludf.DUMMYFUNCTION("""COMPUTED_VALUE"""),"Mac Book Air")</f>
        <v>Mac Book Air</v>
      </c>
    </row>
    <row r="35" spans="1:6" ht="13">
      <c r="A35" t="str">
        <f ca="1">IFERROR(__xludf.DUMMYFUNCTION("""COMPUTED_VALUE"""),"SFVHHVD89Q6L4")</f>
        <v>SFVHHVD89Q6L4</v>
      </c>
      <c r="C35" t="str">
        <f ca="1">IFERROR(__xludf.DUMMYFUNCTION("""COMPUTED_VALUE"""),"WTS MBA 29")</f>
        <v>WTS MBA 29</v>
      </c>
      <c r="D35">
        <f ca="1">IFERROR(__xludf.DUMMYFUNCTION("""COMPUTED_VALUE"""),8)</f>
        <v>8</v>
      </c>
      <c r="E35" t="str">
        <f ca="1">IFERROR(__xludf.DUMMYFUNCTION("""COMPUTED_VALUE"""),"Turing")</f>
        <v>Turing</v>
      </c>
      <c r="F35" t="str">
        <f ca="1">IFERROR(__xludf.DUMMYFUNCTION("""COMPUTED_VALUE"""),"Mac Book Air")</f>
        <v>Mac Book Air</v>
      </c>
    </row>
    <row r="36" spans="1:6" ht="13">
      <c r="A36" t="str">
        <f ca="1">IFERROR(__xludf.DUMMYFUNCTION("""COMPUTED_VALUE"""),"SFVHHV5Q8Q6L4")</f>
        <v>SFVHHV5Q8Q6L4</v>
      </c>
      <c r="C36" t="str">
        <f ca="1">IFERROR(__xludf.DUMMYFUNCTION("""COMPUTED_VALUE"""),"WTS MBA 14")</f>
        <v>WTS MBA 14</v>
      </c>
      <c r="D36">
        <f ca="1">IFERROR(__xludf.DUMMYFUNCTION("""COMPUTED_VALUE"""),10)</f>
        <v>10</v>
      </c>
      <c r="E36" t="str">
        <f ca="1">IFERROR(__xludf.DUMMYFUNCTION("""COMPUTED_VALUE"""),"Perlis")</f>
        <v>Perlis</v>
      </c>
      <c r="F36" t="str">
        <f ca="1">IFERROR(__xludf.DUMMYFUNCTION("""COMPUTED_VALUE"""),"Mac Book Air")</f>
        <v>Mac Book Air</v>
      </c>
    </row>
    <row r="37" spans="1:6" ht="13">
      <c r="A37" t="str">
        <f ca="1">IFERROR(__xludf.DUMMYFUNCTION("""COMPUTED_VALUE"""),"SFVHHV66LQ6L4")</f>
        <v>SFVHHV66LQ6L4</v>
      </c>
      <c r="C37" t="str">
        <f ca="1">IFERROR(__xludf.DUMMYFUNCTION("""COMPUTED_VALUE"""),"WTS MBA 23")</f>
        <v>WTS MBA 23</v>
      </c>
      <c r="D37">
        <f ca="1">IFERROR(__xludf.DUMMYFUNCTION("""COMPUTED_VALUE"""),10)</f>
        <v>10</v>
      </c>
      <c r="E37" t="str">
        <f ca="1">IFERROR(__xludf.DUMMYFUNCTION("""COMPUTED_VALUE"""),"Stroustrup")</f>
        <v>Stroustrup</v>
      </c>
      <c r="F37" t="str">
        <f ca="1">IFERROR(__xludf.DUMMYFUNCTION("""COMPUTED_VALUE"""),"Mac Book Air")</f>
        <v>Mac Book Air</v>
      </c>
    </row>
    <row r="38" spans="1:6" ht="13">
      <c r="A38" t="str">
        <f ca="1">IFERROR(__xludf.DUMMYFUNCTION("""COMPUTED_VALUE"""),"SFVHHV8EVQ6L4")</f>
        <v>SFVHHV8EVQ6L4</v>
      </c>
      <c r="C38" t="str">
        <f ca="1">IFERROR(__xludf.DUMMYFUNCTION("""COMPUTED_VALUE"""),"WTS MBA 26")</f>
        <v>WTS MBA 26</v>
      </c>
      <c r="D38">
        <f ca="1">IFERROR(__xludf.DUMMYFUNCTION("""COMPUTED_VALUE"""),8)</f>
        <v>8</v>
      </c>
      <c r="E38" t="str">
        <f ca="1">IFERROR(__xludf.DUMMYFUNCTION("""COMPUTED_VALUE"""),"Tarjan")</f>
        <v>Tarjan</v>
      </c>
      <c r="F38" t="str">
        <f ca="1">IFERROR(__xludf.DUMMYFUNCTION("""COMPUTED_VALUE"""),"Mac Book Air")</f>
        <v>Mac Book Air</v>
      </c>
    </row>
    <row r="39" spans="1:6" ht="13">
      <c r="A39" t="str">
        <f ca="1">IFERROR(__xludf.DUMMYFUNCTION("""COMPUTED_VALUE"""),"SFVHHV5SEQ6L4")</f>
        <v>SFVHHV5SEQ6L4</v>
      </c>
      <c r="C39" t="str">
        <f ca="1">IFERROR(__xludf.DUMMYFUNCTION("""COMPUTED_VALUE"""),"WTS MBA 16")</f>
        <v>WTS MBA 16</v>
      </c>
      <c r="D39">
        <f ca="1">IFERROR(__xludf.DUMMYFUNCTION("""COMPUTED_VALUE"""),10)</f>
        <v>10</v>
      </c>
      <c r="E39" t="str">
        <f ca="1">IFERROR(__xludf.DUMMYFUNCTION("""COMPUTED_VALUE"""),"Ritchie")</f>
        <v>Ritchie</v>
      </c>
      <c r="F39" t="str">
        <f ca="1">IFERROR(__xludf.DUMMYFUNCTION("""COMPUTED_VALUE"""),"Mac Book Air")</f>
        <v>Mac Book Air</v>
      </c>
    </row>
    <row r="40" spans="1:6" ht="13">
      <c r="A40" t="str">
        <f ca="1">IFERROR(__xludf.DUMMYFUNCTION("""COMPUTED_VALUE"""),"SFVHHV5UTQ6L4")</f>
        <v>SFVHHV5UTQ6L4</v>
      </c>
      <c r="C40" t="str">
        <f ca="1">IFERROR(__xludf.DUMMYFUNCTION("""COMPUTED_VALUE"""),"WTS MBA 20")</f>
        <v>WTS MBA 20</v>
      </c>
      <c r="D40">
        <f ca="1">IFERROR(__xludf.DUMMYFUNCTION("""COMPUTED_VALUE"""),10)</f>
        <v>10</v>
      </c>
      <c r="E40" t="str">
        <f ca="1">IFERROR(__xludf.DUMMYFUNCTION("""COMPUTED_VALUE"""),"Shannon")</f>
        <v>Shannon</v>
      </c>
      <c r="F40" t="str">
        <f ca="1">IFERROR(__xludf.DUMMYFUNCTION("""COMPUTED_VALUE"""),"Mac Book Air")</f>
        <v>Mac Book Air</v>
      </c>
    </row>
    <row r="41" spans="1:6" ht="13">
      <c r="A41" t="str">
        <f ca="1">IFERROR(__xludf.DUMMYFUNCTION("""COMPUTED_VALUE"""),"5CG425370W")</f>
        <v>5CG425370W</v>
      </c>
      <c r="B41" t="str">
        <f ca="1">IFERROR(__xludf.DUMMYFUNCTION("""COMPUTED_VALUE"""),"5CG425370W")</f>
        <v>5CG425370W</v>
      </c>
      <c r="C41" t="str">
        <f ca="1">IFERROR(__xludf.DUMMYFUNCTION("""COMPUTED_VALUE"""),"Wilkes")</f>
        <v>Wilkes</v>
      </c>
      <c r="D41">
        <f ca="1">IFERROR(__xludf.DUMMYFUNCTION("""COMPUTED_VALUE"""),13)</f>
        <v>13</v>
      </c>
      <c r="E41" t="str">
        <f ca="1">IFERROR(__xludf.DUMMYFUNCTION("""COMPUTED_VALUE"""),"Wilkes")</f>
        <v>Wilkes</v>
      </c>
      <c r="F41" t="str">
        <f ca="1">IFERROR(__xludf.DUMMYFUNCTION("""COMPUTED_VALUE"""),"HP Laptop 17-cp2035cl")</f>
        <v>HP Laptop 17-cp2035cl</v>
      </c>
    </row>
    <row r="42" spans="1:6" ht="13">
      <c r="A42" t="str">
        <f ca="1">IFERROR(__xludf.DUMMYFUNCTION("""COMPUTED_VALUE"""),"5CG34905J6")</f>
        <v>5CG34905J6</v>
      </c>
      <c r="B42" t="str">
        <f ca="1">IFERROR(__xludf.DUMMYFUNCTION("""COMPUTED_VALUE"""),"5CG34905J6")</f>
        <v>5CG34905J6</v>
      </c>
      <c r="C42" t="str">
        <f ca="1">IFERROR(__xludf.DUMMYFUNCTION("""COMPUTED_VALUE"""),"Wirth")</f>
        <v>Wirth</v>
      </c>
      <c r="D42">
        <f ca="1">IFERROR(__xludf.DUMMYFUNCTION("""COMPUTED_VALUE"""),13)</f>
        <v>13</v>
      </c>
      <c r="E42" t="str">
        <f ca="1">IFERROR(__xludf.DUMMYFUNCTION("""COMPUTED_VALUE"""),"Wirth")</f>
        <v>Wirth</v>
      </c>
      <c r="F42" t="str">
        <f ca="1">IFERROR(__xludf.DUMMYFUNCTION("""COMPUTED_VALUE"""),"HP Laptop 17-cp2035cl")</f>
        <v>HP Laptop 17-cp2035cl</v>
      </c>
    </row>
    <row r="43" spans="1:6" ht="13">
      <c r="A43" t="str">
        <f ca="1">IFERROR(__xludf.DUMMYFUNCTION("""COMPUTED_VALUE"""),"5CG34019XF")</f>
        <v>5CG34019XF</v>
      </c>
      <c r="B43" t="str">
        <f ca="1">IFERROR(__xludf.DUMMYFUNCTION("""COMPUTED_VALUE"""),"5CG34019XF")</f>
        <v>5CG34019XF</v>
      </c>
      <c r="C43" t="str">
        <f ca="1">IFERROR(__xludf.DUMMYFUNCTION("""COMPUTED_VALUE"""),"Aho")</f>
        <v>Aho</v>
      </c>
      <c r="D43">
        <f ca="1">IFERROR(__xludf.DUMMYFUNCTION("""COMPUTED_VALUE"""),13)</f>
        <v>13</v>
      </c>
      <c r="E43" t="str">
        <f ca="1">IFERROR(__xludf.DUMMYFUNCTION("""COMPUTED_VALUE"""),"Aho")</f>
        <v>Aho</v>
      </c>
      <c r="F43" t="str">
        <f ca="1">IFERROR(__xludf.DUMMYFUNCTION("""COMPUTED_VALUE"""),"HP Laptop 17-cn1069cl")</f>
        <v>HP Laptop 17-cn1069cl</v>
      </c>
    </row>
    <row r="44" spans="1:6" ht="13">
      <c r="A44" t="str">
        <f ca="1">IFERROR(__xludf.DUMMYFUNCTION("""COMPUTED_VALUE"""),"5CG4321KDK")</f>
        <v>5CG4321KDK</v>
      </c>
      <c r="B44" t="str">
        <f ca="1">IFERROR(__xludf.DUMMYFUNCTION("""COMPUTED_VALUE"""),"5CG4321KDK")</f>
        <v>5CG4321KDK</v>
      </c>
      <c r="C44" t="str">
        <f ca="1">IFERROR(__xludf.DUMMYFUNCTION("""COMPUTED_VALUE"""),"Bayer")</f>
        <v>Bayer</v>
      </c>
      <c r="D44">
        <f ca="1">IFERROR(__xludf.DUMMYFUNCTION("""COMPUTED_VALUE"""),13)</f>
        <v>13</v>
      </c>
      <c r="E44" t="str">
        <f ca="1">IFERROR(__xludf.DUMMYFUNCTION("""COMPUTED_VALUE"""),"Bayer")</f>
        <v>Bayer</v>
      </c>
      <c r="F44" t="str">
        <f ca="1">IFERROR(__xludf.DUMMYFUNCTION("""COMPUTED_VALUE"""),"HP Laptop 17-cn2283st")</f>
        <v>HP Laptop 17-cn2283st</v>
      </c>
    </row>
    <row r="45" spans="1:6" ht="13">
      <c r="A45" t="str">
        <f ca="1">IFERROR(__xludf.DUMMYFUNCTION("""COMPUTED_VALUE"""),"5CG32067S5")</f>
        <v>5CG32067S5</v>
      </c>
      <c r="B45" t="str">
        <f ca="1">IFERROR(__xludf.DUMMYFUNCTION("""COMPUTED_VALUE"""),"5CG32067S5")</f>
        <v>5CG32067S5</v>
      </c>
      <c r="C45" t="str">
        <f ca="1">IFERROR(__xludf.DUMMYFUNCTION("""COMPUTED_VALUE"""),"Clark")</f>
        <v>Clark</v>
      </c>
      <c r="D45">
        <f ca="1">IFERROR(__xludf.DUMMYFUNCTION("""COMPUTED_VALUE"""),13)</f>
        <v>13</v>
      </c>
      <c r="E45" t="str">
        <f ca="1">IFERROR(__xludf.DUMMYFUNCTION("""COMPUTED_VALUE"""),"Clark")</f>
        <v>Clark</v>
      </c>
      <c r="F45" t="str">
        <f ca="1">IFERROR(__xludf.DUMMYFUNCTION("""COMPUTED_VALUE"""),"HP Laptop 17-cp2124od")</f>
        <v>HP Laptop 17-cp2124od</v>
      </c>
    </row>
    <row r="46" spans="1:6" ht="13">
      <c r="A46" t="str">
        <f ca="1">IFERROR(__xludf.DUMMYFUNCTION("""COMPUTED_VALUE"""),"5CG3193H8C")</f>
        <v>5CG3193H8C</v>
      </c>
      <c r="B46" t="str">
        <f ca="1">IFERROR(__xludf.DUMMYFUNCTION("""COMPUTED_VALUE"""),"5CG3193H8C")</f>
        <v>5CG3193H8C</v>
      </c>
      <c r="C46" t="str">
        <f ca="1">IFERROR(__xludf.DUMMYFUNCTION("""COMPUTED_VALUE"""),"Cook")</f>
        <v>Cook</v>
      </c>
      <c r="D46">
        <f ca="1">IFERROR(__xludf.DUMMYFUNCTION("""COMPUTED_VALUE"""),13)</f>
        <v>13</v>
      </c>
      <c r="E46" t="str">
        <f ca="1">IFERROR(__xludf.DUMMYFUNCTION("""COMPUTED_VALUE"""),"Cook")</f>
        <v>Cook</v>
      </c>
      <c r="F46" t="str">
        <f ca="1">IFERROR(__xludf.DUMMYFUNCTION("""COMPUTED_VALUE"""),"HP Laptop 17-cp212400")</f>
        <v>HP Laptop 17-cp212400</v>
      </c>
    </row>
    <row r="47" spans="1:6" ht="13">
      <c r="A47" t="str">
        <f ca="1">IFERROR(__xludf.DUMMYFUNCTION("""COMPUTED_VALUE"""),"5CG44710M5")</f>
        <v>5CG44710M5</v>
      </c>
      <c r="B47" t="str">
        <f ca="1">IFERROR(__xludf.DUMMYFUNCTION("""COMPUTED_VALUE"""),"5CG44710M5")</f>
        <v>5CG44710M5</v>
      </c>
      <c r="C47" t="str">
        <f ca="1">IFERROR(__xludf.DUMMYFUNCTION("""COMPUTED_VALUE"""),"Denning")</f>
        <v>Denning</v>
      </c>
      <c r="D47">
        <f ca="1">IFERROR(__xludf.DUMMYFUNCTION("""COMPUTED_VALUE"""),14)</f>
        <v>14</v>
      </c>
      <c r="E47" t="str">
        <f ca="1">IFERROR(__xludf.DUMMYFUNCTION("""COMPUTED_VALUE"""),"Denning")</f>
        <v>Denning</v>
      </c>
      <c r="F47" t="str">
        <f ca="1">IFERROR(__xludf.DUMMYFUNCTION("""COMPUTED_VALUE"""),"HP Laptop 17T-cn300")</f>
        <v>HP Laptop 17T-cn300</v>
      </c>
    </row>
    <row r="48" spans="1:6" ht="13">
      <c r="A48" t="str">
        <f ca="1">IFERROR(__xludf.DUMMYFUNCTION("""COMPUTED_VALUE"""),"5CG44710VW")</f>
        <v>5CG44710VW</v>
      </c>
      <c r="B48" t="str">
        <f ca="1">IFERROR(__xludf.DUMMYFUNCTION("""COMPUTED_VALUE"""),"5CG44710VW")</f>
        <v>5CG44710VW</v>
      </c>
      <c r="C48" t="str">
        <f ca="1">IFERROR(__xludf.DUMMYFUNCTION("""COMPUTED_VALUE"""),"Feigenbaum")</f>
        <v>Feigenbaum</v>
      </c>
      <c r="D48">
        <f ca="1">IFERROR(__xludf.DUMMYFUNCTION("""COMPUTED_VALUE"""),14)</f>
        <v>14</v>
      </c>
      <c r="E48" t="str">
        <f ca="1">IFERROR(__xludf.DUMMYFUNCTION("""COMPUTED_VALUE"""),"Feigenbaum")</f>
        <v>Feigenbaum</v>
      </c>
      <c r="F48" t="str">
        <f ca="1">IFERROR(__xludf.DUMMYFUNCTION("""COMPUTED_VALUE"""),"HP Laptop 17T-cn300")</f>
        <v>HP Laptop 17T-cn300</v>
      </c>
    </row>
    <row r="49" spans="1:6" ht="13">
      <c r="A49" t="str">
        <f ca="1">IFERROR(__xludf.DUMMYFUNCTION("""COMPUTED_VALUE"""),"5CG44710T6")</f>
        <v>5CG44710T6</v>
      </c>
      <c r="B49" t="str">
        <f ca="1">IFERROR(__xludf.DUMMYFUNCTION("""COMPUTED_VALUE"""),"5CG44710T6")</f>
        <v>5CG44710T6</v>
      </c>
      <c r="C49" t="str">
        <f ca="1">IFERROR(__xludf.DUMMYFUNCTION("""COMPUTED_VALUE"""),"Feldman")</f>
        <v>Feldman</v>
      </c>
      <c r="D49">
        <f ca="1">IFERROR(__xludf.DUMMYFUNCTION("""COMPUTED_VALUE"""),14)</f>
        <v>14</v>
      </c>
      <c r="E49" t="str">
        <f ca="1">IFERROR(__xludf.DUMMYFUNCTION("""COMPUTED_VALUE"""),"Feldman")</f>
        <v>Feldman</v>
      </c>
      <c r="F49" t="str">
        <f ca="1">IFERROR(__xludf.DUMMYFUNCTION("""COMPUTED_VALUE"""),"HP Laptop 17T-cn300")</f>
        <v>HP Laptop 17T-cn300</v>
      </c>
    </row>
    <row r="50" spans="1:6" ht="13">
      <c r="A50" t="str">
        <f ca="1">IFERROR(__xludf.DUMMYFUNCTION("""COMPUTED_VALUE"""),"5CG446345S")</f>
        <v>5CG446345S</v>
      </c>
      <c r="B50" t="str">
        <f ca="1">IFERROR(__xludf.DUMMYFUNCTION("""COMPUTED_VALUE"""),"5CG446345S")</f>
        <v>5CG446345S</v>
      </c>
      <c r="C50" t="str">
        <f ca="1">IFERROR(__xludf.DUMMYFUNCTION("""COMPUTED_VALUE"""),"Ferranti")</f>
        <v>Ferranti</v>
      </c>
      <c r="D50">
        <f ca="1">IFERROR(__xludf.DUMMYFUNCTION("""COMPUTED_VALUE"""),14)</f>
        <v>14</v>
      </c>
      <c r="E50" t="str">
        <f ca="1">IFERROR(__xludf.DUMMYFUNCTION("""COMPUTED_VALUE"""),"Ferranti")</f>
        <v>Ferranti</v>
      </c>
      <c r="F50" t="str">
        <f ca="1">IFERROR(__xludf.DUMMYFUNCTION("""COMPUTED_VALUE"""),"HP Laptop 17T-cn300")</f>
        <v>HP Laptop 17T-cn300</v>
      </c>
    </row>
    <row r="51" spans="1:6" ht="13">
      <c r="A51" t="str">
        <f ca="1">IFERROR(__xludf.DUMMYFUNCTION("""COMPUTED_VALUE"""),"5CG4463343")</f>
        <v>5CG4463343</v>
      </c>
      <c r="B51" t="str">
        <f ca="1">IFERROR(__xludf.DUMMYFUNCTION("""COMPUTED_VALUE"""),"5CG4463343")</f>
        <v>5CG4463343</v>
      </c>
      <c r="C51" t="str">
        <f ca="1">IFERROR(__xludf.DUMMYFUNCTION("""COMPUTED_VALUE"""),"Graham")</f>
        <v>Graham</v>
      </c>
      <c r="D51">
        <f ca="1">IFERROR(__xludf.DUMMYFUNCTION("""COMPUTED_VALUE"""),14)</f>
        <v>14</v>
      </c>
      <c r="E51" t="str">
        <f ca="1">IFERROR(__xludf.DUMMYFUNCTION("""COMPUTED_VALUE"""),"Graham")</f>
        <v>Graham</v>
      </c>
      <c r="F51" t="str">
        <f ca="1">IFERROR(__xludf.DUMMYFUNCTION("""COMPUTED_VALUE"""),"HP Laptop 17T-cn300")</f>
        <v>HP Laptop 17T-cn300</v>
      </c>
    </row>
    <row r="52" spans="1:6" ht="13">
      <c r="A52" t="str">
        <f ca="1">IFERROR(__xludf.DUMMYFUNCTION("""COMPUTED_VALUE"""),"5CG44710LT")</f>
        <v>5CG44710LT</v>
      </c>
      <c r="B52" t="str">
        <f ca="1">IFERROR(__xludf.DUMMYFUNCTION("""COMPUTED_VALUE"""),"5CG44710LT")</f>
        <v>5CG44710LT</v>
      </c>
      <c r="C52" t="str">
        <f ca="1">IFERROR(__xludf.DUMMYFUNCTION("""COMPUTED_VALUE"""),"Desmedt")</f>
        <v>Desmedt</v>
      </c>
      <c r="D52">
        <f ca="1">IFERROR(__xludf.DUMMYFUNCTION("""COMPUTED_VALUE"""),15)</f>
        <v>15</v>
      </c>
      <c r="E52" t="str">
        <f ca="1">IFERROR(__xludf.DUMMYFUNCTION("""COMPUTED_VALUE"""),"Desmedt")</f>
        <v>Desmedt</v>
      </c>
      <c r="F52" t="str">
        <f ca="1">IFERROR(__xludf.DUMMYFUNCTION("""COMPUTED_VALUE"""),"HP Laptop 17T-cn300")</f>
        <v>HP Laptop 17T-cn300</v>
      </c>
    </row>
    <row r="53" spans="1:6" ht="13">
      <c r="A53" t="str">
        <f ca="1">IFERROR(__xludf.DUMMYFUNCTION("""COMPUTED_VALUE"""),"5CG44710JW")</f>
        <v>5CG44710JW</v>
      </c>
      <c r="B53" t="str">
        <f ca="1">IFERROR(__xludf.DUMMYFUNCTION("""COMPUTED_VALUE"""),"5CG44710JW")</f>
        <v>5CG44710JW</v>
      </c>
      <c r="C53" t="str">
        <f ca="1">IFERROR(__xludf.DUMMYFUNCTION("""COMPUTED_VALUE"""),"Fagin")</f>
        <v>Fagin</v>
      </c>
      <c r="D53">
        <f ca="1">IFERROR(__xludf.DUMMYFUNCTION("""COMPUTED_VALUE"""),15)</f>
        <v>15</v>
      </c>
      <c r="E53" t="str">
        <f ca="1">IFERROR(__xludf.DUMMYFUNCTION("""COMPUTED_VALUE"""),"Fagin")</f>
        <v>Fagin</v>
      </c>
      <c r="F53" t="str">
        <f ca="1">IFERROR(__xludf.DUMMYFUNCTION("""COMPUTED_VALUE"""),"HP Laptop 17T-cn300")</f>
        <v>HP Laptop 17T-cn300</v>
      </c>
    </row>
    <row r="54" spans="1:6" ht="13">
      <c r="A54" t="str">
        <f ca="1">IFERROR(__xludf.DUMMYFUNCTION("""COMPUTED_VALUE"""),"5CG44710M3")</f>
        <v>5CG44710M3</v>
      </c>
      <c r="B54" t="str">
        <f ca="1">IFERROR(__xludf.DUMMYFUNCTION("""COMPUTED_VALUE"""),"5CG44710M3")</f>
        <v>5CG44710M3</v>
      </c>
      <c r="C54" t="str">
        <f ca="1">IFERROR(__xludf.DUMMYFUNCTION("""COMPUTED_VALUE"""),"Floyd")</f>
        <v>Floyd</v>
      </c>
      <c r="D54">
        <f ca="1">IFERROR(__xludf.DUMMYFUNCTION("""COMPUTED_VALUE"""),15)</f>
        <v>15</v>
      </c>
      <c r="E54" t="str">
        <f ca="1">IFERROR(__xludf.DUMMYFUNCTION("""COMPUTED_VALUE"""),"Floyd")</f>
        <v>Floyd</v>
      </c>
      <c r="F54" t="str">
        <f ca="1">IFERROR(__xludf.DUMMYFUNCTION("""COMPUTED_VALUE"""),"HP Laptop 17T-cn300")</f>
        <v>HP Laptop 17T-cn300</v>
      </c>
    </row>
    <row r="55" spans="1:6" ht="13">
      <c r="A55" t="str">
        <f ca="1">IFERROR(__xludf.DUMMYFUNCTION("""COMPUTED_VALUE"""),"5CG44633QK")</f>
        <v>5CG44633QK</v>
      </c>
      <c r="B55" t="str">
        <f ca="1">IFERROR(__xludf.DUMMYFUNCTION("""COMPUTED_VALUE"""),"5CG44633QK")</f>
        <v>5CG44633QK</v>
      </c>
      <c r="C55" t="str">
        <f ca="1">IFERROR(__xludf.DUMMYFUNCTION("""COMPUTED_VALUE"""),"Goldwasser")</f>
        <v>Goldwasser</v>
      </c>
      <c r="D55">
        <f ca="1">IFERROR(__xludf.DUMMYFUNCTION("""COMPUTED_VALUE"""),15)</f>
        <v>15</v>
      </c>
      <c r="E55" t="str">
        <f ca="1">IFERROR(__xludf.DUMMYFUNCTION("""COMPUTED_VALUE"""),"Goldwasser")</f>
        <v>Goldwasser</v>
      </c>
      <c r="F55" t="str">
        <f ca="1">IFERROR(__xludf.DUMMYFUNCTION("""COMPUTED_VALUE"""),"HP Laptop 17T-cn300")</f>
        <v>HP Laptop 17T-cn300</v>
      </c>
    </row>
    <row r="56" spans="1:6" ht="13">
      <c r="A56" t="str">
        <f ca="1">IFERROR(__xludf.DUMMYFUNCTION("""COMPUTED_VALUE"""),"5CG446334B")</f>
        <v>5CG446334B</v>
      </c>
      <c r="B56" t="str">
        <f ca="1">IFERROR(__xludf.DUMMYFUNCTION("""COMPUTED_VALUE"""),"5CG446334B")</f>
        <v>5CG446334B</v>
      </c>
      <c r="C56" t="str">
        <f ca="1">IFERROR(__xludf.DUMMYFUNCTION("""COMPUTED_VALUE"""),"Guido")</f>
        <v>Guido</v>
      </c>
      <c r="D56">
        <f ca="1">IFERROR(__xludf.DUMMYFUNCTION("""COMPUTED_VALUE"""),15)</f>
        <v>15</v>
      </c>
      <c r="E56" t="str">
        <f ca="1">IFERROR(__xludf.DUMMYFUNCTION("""COMPUTED_VALUE"""),"Guido")</f>
        <v>Guido</v>
      </c>
      <c r="F56" t="str">
        <f ca="1">IFERROR(__xludf.DUMMYFUNCTION("""COMPUTED_VALUE"""),"HP Laptop 17T-cn300")</f>
        <v>HP Laptop 17T-cn300</v>
      </c>
    </row>
    <row r="57" spans="1:6" ht="13">
      <c r="A57" t="str">
        <f ca="1">IFERROR(__xludf.DUMMYFUNCTION("""COMPUTED_VALUE"""),"SFVHHV5UJQ6L4")</f>
        <v>SFVHHV5UJQ6L4</v>
      </c>
      <c r="C57" t="str">
        <f ca="1">IFERROR(__xludf.DUMMYFUNCTION("""COMPUTED_VALUE"""),"WTS MBA 19")</f>
        <v>WTS MBA 19</v>
      </c>
      <c r="D57" t="str">
        <f ca="1">IFERROR(__xludf.DUMMYFUNCTION("""COMPUTED_VALUE"""),"Incomming")</f>
        <v>Incomming</v>
      </c>
      <c r="E57" t="str">
        <f ca="1">IFERROR(__xludf.DUMMYFUNCTION("""COMPUTED_VALUE"""),"Shamir")</f>
        <v>Shamir</v>
      </c>
      <c r="F57" t="str">
        <f ca="1">IFERROR(__xludf.DUMMYFUNCTION("""COMPUTED_VALUE"""),"Mac Book Air")</f>
        <v>Mac Book Air</v>
      </c>
    </row>
    <row r="58" spans="1:6" ht="13">
      <c r="A58" t="str">
        <f ca="1">IFERROR(__xludf.DUMMYFUNCTION("""COMPUTED_VALUE"""),"SFVHHV5VVQ6L4")</f>
        <v>SFVHHV5VVQ6L4</v>
      </c>
      <c r="C58" t="str">
        <f ca="1">IFERROR(__xludf.DUMMYFUNCTION("""COMPUTED_VALUE"""),"WTS MBA 21")</f>
        <v>WTS MBA 21</v>
      </c>
      <c r="D58" t="str">
        <f ca="1">IFERROR(__xludf.DUMMYFUNCTION("""COMPUTED_VALUE"""),"Incomming")</f>
        <v>Incomming</v>
      </c>
      <c r="E58" t="str">
        <f ca="1">IFERROR(__xludf.DUMMYFUNCTION("""COMPUTED_VALUE"""),"Simon")</f>
        <v>Simon</v>
      </c>
      <c r="F58" t="str">
        <f ca="1">IFERROR(__xludf.DUMMYFUNCTION("""COMPUTED_VALUE"""),"Mac Book Air")</f>
        <v>Mac Book Air</v>
      </c>
    </row>
    <row r="59" spans="1:6" ht="13">
      <c r="A59" t="str">
        <f ca="1">IFERROR(__xludf.DUMMYFUNCTION("""COMPUTED_VALUE"""),"SFVHHV65XQ6L4")</f>
        <v>SFVHHV65XQ6L4</v>
      </c>
      <c r="C59" t="str">
        <f ca="1">IFERROR(__xludf.DUMMYFUNCTION("""COMPUTED_VALUE"""),"WTS MBA 22")</f>
        <v>WTS MBA 22</v>
      </c>
      <c r="D59" t="str">
        <f ca="1">IFERROR(__xludf.DUMMYFUNCTION("""COMPUTED_VALUE"""),"Incomming")</f>
        <v>Incomming</v>
      </c>
      <c r="E59" t="str">
        <f ca="1">IFERROR(__xludf.DUMMYFUNCTION("""COMPUTED_VALUE"""),"Stallman")</f>
        <v>Stallman</v>
      </c>
      <c r="F59" t="str">
        <f ca="1">IFERROR(__xludf.DUMMYFUNCTION("""COMPUTED_VALUE"""),"Mac Book Air")</f>
        <v>Mac Book Air</v>
      </c>
    </row>
    <row r="60" spans="1:6" ht="13">
      <c r="A60" t="str">
        <f ca="1">IFERROR(__xludf.DUMMYFUNCTION("""COMPUTED_VALUE"""),"SFVHHV43MQ6L4")</f>
        <v>SFVHHV43MQ6L4</v>
      </c>
      <c r="C60" t="str">
        <f ca="1">IFERROR(__xludf.DUMMYFUNCTION("""COMPUTED_VALUE"""),"WTS MBA 10")</f>
        <v>WTS MBA 10</v>
      </c>
      <c r="D60" t="str">
        <f ca="1">IFERROR(__xludf.DUMMYFUNCTION("""COMPUTED_VALUE"""),"Loaner")</f>
        <v>Loaner</v>
      </c>
      <c r="E60" t="str">
        <f ca="1">IFERROR(__xludf.DUMMYFUNCTION("""COMPUTED_VALUE"""),"Minsky")</f>
        <v>Minsky</v>
      </c>
      <c r="F60" t="str">
        <f ca="1">IFERROR(__xludf.DUMMYFUNCTION("""COMPUTED_VALUE"""),"Mac Book Air")</f>
        <v>Mac Book Air</v>
      </c>
    </row>
    <row r="61" spans="1:6" ht="13">
      <c r="A61" t="str">
        <f ca="1">IFERROR(__xludf.DUMMYFUNCTION("""COMPUTED_VALUE"""),"SFVHHV5U7Q6L4")</f>
        <v>SFVHHV5U7Q6L4</v>
      </c>
      <c r="C61" t="str">
        <f ca="1">IFERROR(__xludf.DUMMYFUNCTION("""COMPUTED_VALUE"""),"WTS MBA 17")</f>
        <v>WTS MBA 17</v>
      </c>
      <c r="D61" t="str">
        <f ca="1">IFERROR(__xludf.DUMMYFUNCTION("""COMPUTED_VALUE"""),"Loaner")</f>
        <v>Loaner</v>
      </c>
      <c r="E61" t="str">
        <f ca="1">IFERROR(__xludf.DUMMYFUNCTION("""COMPUTED_VALUE"""),"Rivest")</f>
        <v>Rivest</v>
      </c>
      <c r="F61" t="str">
        <f ca="1">IFERROR(__xludf.DUMMYFUNCTION("""COMPUTED_VALUE"""),"Mac Book Air")</f>
        <v>Mac Book Air</v>
      </c>
    </row>
    <row r="62" spans="1:6" ht="13">
      <c r="A62" t="str">
        <f ca="1">IFERROR(__xludf.DUMMYFUNCTION("""COMPUTED_VALUE"""),"SFVHHV5UDQ6L4")</f>
        <v>SFVHHV5UDQ6L4</v>
      </c>
      <c r="C62" t="str">
        <f ca="1">IFERROR(__xludf.DUMMYFUNCTION("""COMPUTED_VALUE"""),"WTS MBA 18")</f>
        <v>WTS MBA 18</v>
      </c>
      <c r="D62" t="str">
        <f ca="1">IFERROR(__xludf.DUMMYFUNCTION("""COMPUTED_VALUE"""),"Loaner")</f>
        <v>Loaner</v>
      </c>
      <c r="E62" t="str">
        <f ca="1">IFERROR(__xludf.DUMMYFUNCTION("""COMPUTED_VALUE"""),"Rossum")</f>
        <v>Rossum</v>
      </c>
      <c r="F62" t="str">
        <f ca="1">IFERROR(__xludf.DUMMYFUNCTION("""COMPUTED_VALUE"""),"Mac Book Air")</f>
        <v>Mac Book Air</v>
      </c>
    </row>
    <row r="63" spans="1:6" ht="13">
      <c r="A63">
        <f ca="1">IFERROR(__xludf.DUMMYFUNCTION("""COMPUTED_VALUE"""),13483918910)</f>
        <v>13483918910</v>
      </c>
      <c r="B63" t="str">
        <f ca="1">IFERROR(__xludf.DUMMYFUNCTION("""COMPUTED_VALUE"""),"66ZZ6F2")</f>
        <v>66ZZ6F2</v>
      </c>
      <c r="C63" t="str">
        <f ca="1">IFERROR(__xludf.DUMMYFUNCTION("""COMPUTED_VALUE"""),"WTS PC 36")</f>
        <v>WTS PC 36</v>
      </c>
      <c r="D63" t="str">
        <f ca="1">IFERROR(__xludf.DUMMYFUNCTION("""COMPUTED_VALUE"""),"BW")</f>
        <v>BW</v>
      </c>
      <c r="E63" t="str">
        <f ca="1">IFERROR(__xludf.DUMMYFUNCTION("""COMPUTED_VALUE"""),"Dahl")</f>
        <v>Dahl</v>
      </c>
      <c r="F63" t="str">
        <f ca="1">IFERROR(__xludf.DUMMYFUNCTION("""COMPUTED_VALUE"""),"Dell Laptop")</f>
        <v>Dell Laptop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G1000"/>
  <sheetViews>
    <sheetView workbookViewId="0"/>
  </sheetViews>
  <sheetFormatPr baseColWidth="10" defaultColWidth="12.6640625" defaultRowHeight="15.75" customHeight="1"/>
  <cols>
    <col min="7" max="7" width="22.1640625" customWidth="1"/>
  </cols>
  <sheetData>
    <row r="1" spans="1:7" ht="15.75" customHeight="1">
      <c r="A1" s="13" t="s">
        <v>64</v>
      </c>
      <c r="B1" s="13" t="s">
        <v>18</v>
      </c>
      <c r="C1" s="13">
        <v>15059813438</v>
      </c>
      <c r="D1" s="56" t="s">
        <v>66</v>
      </c>
      <c r="E1" s="13" t="s">
        <v>463</v>
      </c>
      <c r="G1" s="57"/>
    </row>
    <row r="2" spans="1:7" ht="15.75" customHeight="1">
      <c r="A2" s="13" t="s">
        <v>97</v>
      </c>
      <c r="B2" s="13" t="s">
        <v>18</v>
      </c>
      <c r="C2" s="13">
        <v>19534310462</v>
      </c>
      <c r="D2" s="56" t="s">
        <v>99</v>
      </c>
      <c r="E2" s="13" t="s">
        <v>463</v>
      </c>
      <c r="G2" s="57"/>
    </row>
    <row r="3" spans="1:7" ht="15.75" customHeight="1">
      <c r="A3" s="13" t="s">
        <v>464</v>
      </c>
      <c r="B3" s="13" t="s">
        <v>18</v>
      </c>
      <c r="C3" s="13">
        <v>4799743022</v>
      </c>
      <c r="D3" s="56" t="s">
        <v>465</v>
      </c>
      <c r="E3" s="13" t="s">
        <v>463</v>
      </c>
      <c r="G3" s="57" t="s">
        <v>466</v>
      </c>
    </row>
    <row r="4" spans="1:7" ht="15.75" customHeight="1">
      <c r="A4" s="13" t="s">
        <v>467</v>
      </c>
      <c r="B4" s="13" t="s">
        <v>18</v>
      </c>
      <c r="C4" s="13">
        <v>11330090030</v>
      </c>
      <c r="D4" s="56" t="s">
        <v>468</v>
      </c>
      <c r="E4" s="13" t="s">
        <v>469</v>
      </c>
      <c r="G4" s="57"/>
    </row>
    <row r="5" spans="1:7" ht="15.75" customHeight="1">
      <c r="A5" s="13" t="s">
        <v>470</v>
      </c>
      <c r="B5" s="13" t="s">
        <v>18</v>
      </c>
      <c r="C5" s="13">
        <v>13506872366</v>
      </c>
      <c r="D5" s="56" t="s">
        <v>471</v>
      </c>
      <c r="E5" s="13" t="s">
        <v>463</v>
      </c>
      <c r="G5" s="57"/>
    </row>
    <row r="6" spans="1:7" ht="15.75" customHeight="1">
      <c r="A6" s="13" t="s">
        <v>89</v>
      </c>
      <c r="B6" s="13" t="s">
        <v>18</v>
      </c>
      <c r="C6" s="13">
        <v>2600007320</v>
      </c>
      <c r="D6" s="56" t="s">
        <v>91</v>
      </c>
      <c r="E6" s="13" t="s">
        <v>463</v>
      </c>
      <c r="F6" s="58">
        <v>42947</v>
      </c>
      <c r="G6" s="57"/>
    </row>
    <row r="7" spans="1:7" ht="15.75" customHeight="1">
      <c r="A7" s="13" t="s">
        <v>68</v>
      </c>
      <c r="B7" s="13" t="s">
        <v>18</v>
      </c>
      <c r="C7" s="13">
        <v>30353982014</v>
      </c>
      <c r="D7" s="56" t="s">
        <v>70</v>
      </c>
      <c r="E7" s="13" t="s">
        <v>463</v>
      </c>
      <c r="F7" s="58">
        <v>42947</v>
      </c>
      <c r="G7" s="57"/>
    </row>
    <row r="8" spans="1:7" ht="15.75" customHeight="1">
      <c r="A8" s="13" t="s">
        <v>472</v>
      </c>
      <c r="B8" s="13" t="s">
        <v>18</v>
      </c>
      <c r="C8" s="13">
        <v>15842099774</v>
      </c>
      <c r="D8" s="56" t="s">
        <v>473</v>
      </c>
      <c r="E8" s="13" t="s">
        <v>463</v>
      </c>
      <c r="F8" s="58">
        <v>42947</v>
      </c>
      <c r="G8" s="57" t="s">
        <v>474</v>
      </c>
    </row>
    <row r="9" spans="1:7" ht="15.75" customHeight="1">
      <c r="A9" s="13" t="s">
        <v>475</v>
      </c>
      <c r="B9" s="13" t="s">
        <v>18</v>
      </c>
      <c r="C9" s="13">
        <v>24246898238</v>
      </c>
      <c r="D9" s="56" t="s">
        <v>476</v>
      </c>
      <c r="E9" s="13" t="s">
        <v>463</v>
      </c>
      <c r="F9" s="58">
        <v>42947</v>
      </c>
      <c r="G9" s="57"/>
    </row>
    <row r="10" spans="1:7" ht="15.75" customHeight="1">
      <c r="A10" s="13" t="s">
        <v>16</v>
      </c>
      <c r="B10" s="13" t="s">
        <v>18</v>
      </c>
      <c r="C10" s="13">
        <v>4897721918</v>
      </c>
      <c r="D10" s="56" t="s">
        <v>21</v>
      </c>
      <c r="E10" s="13" t="s">
        <v>463</v>
      </c>
      <c r="F10" s="58">
        <v>42947</v>
      </c>
      <c r="G10" s="57" t="s">
        <v>23</v>
      </c>
    </row>
    <row r="11" spans="1:7" ht="15.75" customHeight="1">
      <c r="A11" s="13" t="s">
        <v>477</v>
      </c>
      <c r="B11" s="13" t="s">
        <v>18</v>
      </c>
      <c r="C11" s="13">
        <v>2541268622</v>
      </c>
      <c r="D11" s="56" t="s">
        <v>478</v>
      </c>
      <c r="E11" s="13" t="s">
        <v>463</v>
      </c>
      <c r="F11" s="58">
        <v>42947</v>
      </c>
      <c r="G11" s="57"/>
    </row>
    <row r="12" spans="1:7" ht="15.75" customHeight="1">
      <c r="A12" s="13" t="s">
        <v>479</v>
      </c>
      <c r="B12" s="13" t="s">
        <v>18</v>
      </c>
      <c r="C12" s="13">
        <v>15539768894</v>
      </c>
      <c r="D12" s="56" t="s">
        <v>480</v>
      </c>
      <c r="E12" s="13" t="s">
        <v>463</v>
      </c>
      <c r="F12" s="58">
        <v>42947</v>
      </c>
      <c r="G12" s="57" t="s">
        <v>481</v>
      </c>
    </row>
    <row r="13" spans="1:7" ht="15.75" customHeight="1">
      <c r="A13" s="13" t="s">
        <v>482</v>
      </c>
      <c r="B13" s="13" t="s">
        <v>18</v>
      </c>
      <c r="C13" s="13">
        <v>41782089278</v>
      </c>
      <c r="D13" s="56" t="s">
        <v>483</v>
      </c>
      <c r="E13" s="13" t="s">
        <v>463</v>
      </c>
      <c r="F13" s="58">
        <v>42947</v>
      </c>
      <c r="G13" s="57"/>
    </row>
    <row r="14" spans="1:7" ht="15.75" customHeight="1">
      <c r="A14" s="13" t="s">
        <v>484</v>
      </c>
      <c r="B14" s="13" t="s">
        <v>18</v>
      </c>
      <c r="C14" s="13">
        <v>35191276094</v>
      </c>
      <c r="D14" s="56" t="s">
        <v>485</v>
      </c>
      <c r="E14" s="13" t="s">
        <v>463</v>
      </c>
      <c r="F14" s="58">
        <v>42948</v>
      </c>
      <c r="G14" s="57"/>
    </row>
    <row r="15" spans="1:7" ht="15.75" customHeight="1">
      <c r="A15" s="13" t="s">
        <v>85</v>
      </c>
      <c r="B15" s="13" t="s">
        <v>18</v>
      </c>
      <c r="C15" s="13">
        <v>2400797990</v>
      </c>
      <c r="D15" s="56" t="s">
        <v>87</v>
      </c>
      <c r="E15" s="13" t="s">
        <v>463</v>
      </c>
      <c r="F15" s="58">
        <v>43296</v>
      </c>
      <c r="G15" s="57"/>
    </row>
    <row r="16" spans="1:7" ht="15.75" customHeight="1">
      <c r="A16" s="13" t="s">
        <v>81</v>
      </c>
      <c r="B16" s="13" t="s">
        <v>18</v>
      </c>
      <c r="C16" s="13">
        <v>5605505318</v>
      </c>
      <c r="D16" s="56" t="s">
        <v>83</v>
      </c>
      <c r="E16" s="13" t="s">
        <v>463</v>
      </c>
      <c r="F16" s="58">
        <v>43296</v>
      </c>
      <c r="G16" s="57"/>
    </row>
    <row r="17" spans="1:7" ht="15.75" customHeight="1">
      <c r="A17" s="13" t="s">
        <v>77</v>
      </c>
      <c r="B17" s="13" t="s">
        <v>18</v>
      </c>
      <c r="C17" s="13">
        <v>41522413862</v>
      </c>
      <c r="D17" s="56" t="s">
        <v>79</v>
      </c>
      <c r="E17" s="13" t="s">
        <v>463</v>
      </c>
      <c r="F17" s="58">
        <v>43296</v>
      </c>
      <c r="G17" s="57"/>
    </row>
    <row r="18" spans="1:7" ht="15.75" customHeight="1">
      <c r="A18" s="13" t="s">
        <v>486</v>
      </c>
      <c r="B18" s="13" t="s">
        <v>18</v>
      </c>
      <c r="C18" s="13">
        <v>15378607694</v>
      </c>
      <c r="D18" s="56" t="s">
        <v>487</v>
      </c>
      <c r="E18" s="13" t="s">
        <v>463</v>
      </c>
      <c r="F18" s="58">
        <v>43320</v>
      </c>
      <c r="G18" s="57"/>
    </row>
    <row r="19" spans="1:7" ht="15.75" customHeight="1">
      <c r="A19" s="13" t="s">
        <v>488</v>
      </c>
      <c r="B19" s="13" t="s">
        <v>18</v>
      </c>
      <c r="C19" s="13">
        <v>19732172366</v>
      </c>
      <c r="D19" s="56" t="s">
        <v>489</v>
      </c>
      <c r="E19" s="13" t="s">
        <v>463</v>
      </c>
      <c r="F19" s="58">
        <v>43320</v>
      </c>
      <c r="G19" s="57" t="s">
        <v>490</v>
      </c>
    </row>
    <row r="20" spans="1:7" ht="15.75" customHeight="1">
      <c r="A20" s="13" t="s">
        <v>110</v>
      </c>
      <c r="B20" s="13" t="s">
        <v>18</v>
      </c>
      <c r="C20" s="13">
        <v>2915856974</v>
      </c>
      <c r="D20" s="56" t="s">
        <v>112</v>
      </c>
      <c r="E20" s="13" t="s">
        <v>463</v>
      </c>
      <c r="F20" s="58">
        <v>43320</v>
      </c>
      <c r="G20" s="57"/>
    </row>
    <row r="21" spans="1:7" ht="15.75" customHeight="1">
      <c r="A21" s="13" t="s">
        <v>72</v>
      </c>
      <c r="B21" s="13" t="s">
        <v>18</v>
      </c>
      <c r="C21" s="13">
        <v>37146431054</v>
      </c>
      <c r="D21" s="56" t="s">
        <v>75</v>
      </c>
      <c r="E21" s="13" t="s">
        <v>463</v>
      </c>
      <c r="F21" s="58">
        <v>43320</v>
      </c>
      <c r="G21" s="57"/>
    </row>
    <row r="22" spans="1:7" ht="15.75" customHeight="1">
      <c r="A22" s="13" t="s">
        <v>122</v>
      </c>
      <c r="B22" s="13" t="s">
        <v>18</v>
      </c>
      <c r="C22" s="13">
        <v>24085737038</v>
      </c>
      <c r="D22" s="56" t="s">
        <v>124</v>
      </c>
      <c r="E22" s="13" t="s">
        <v>463</v>
      </c>
      <c r="F22" s="58">
        <v>43320</v>
      </c>
      <c r="G22" s="57"/>
    </row>
    <row r="23" spans="1:7" ht="15.75" customHeight="1">
      <c r="A23" s="13" t="s">
        <v>491</v>
      </c>
      <c r="B23" s="13" t="s">
        <v>18</v>
      </c>
      <c r="C23" s="13">
        <v>13201825358</v>
      </c>
      <c r="D23" s="56" t="s">
        <v>492</v>
      </c>
      <c r="E23" s="13" t="s">
        <v>463</v>
      </c>
      <c r="F23" s="58">
        <v>43320</v>
      </c>
      <c r="G23" s="57" t="s">
        <v>493</v>
      </c>
    </row>
    <row r="24" spans="1:7" ht="15.75" customHeight="1">
      <c r="A24" s="13" t="s">
        <v>494</v>
      </c>
      <c r="B24" s="13" t="s">
        <v>18</v>
      </c>
      <c r="C24" s="13">
        <v>28439301710</v>
      </c>
      <c r="D24" s="56" t="s">
        <v>495</v>
      </c>
      <c r="E24" s="13" t="s">
        <v>463</v>
      </c>
      <c r="F24" s="58">
        <v>43320</v>
      </c>
      <c r="G24" s="57" t="s">
        <v>496</v>
      </c>
    </row>
    <row r="25" spans="1:7" ht="15.75" customHeight="1">
      <c r="A25" s="13" t="s">
        <v>497</v>
      </c>
      <c r="B25" s="13" t="s">
        <v>18</v>
      </c>
      <c r="C25" s="13">
        <v>11025043022</v>
      </c>
      <c r="D25" s="56" t="s">
        <v>498</v>
      </c>
      <c r="E25" s="13" t="s">
        <v>463</v>
      </c>
      <c r="F25" s="58">
        <v>43320</v>
      </c>
      <c r="G25" s="57"/>
    </row>
    <row r="26" spans="1:7" ht="15.75" customHeight="1">
      <c r="G26" s="57"/>
    </row>
    <row r="27" spans="1:7" ht="15.75" customHeight="1">
      <c r="G27" s="57"/>
    </row>
    <row r="28" spans="1:7" ht="15.75" customHeight="1">
      <c r="G28" s="57"/>
    </row>
    <row r="29" spans="1:7" ht="15.75" customHeight="1">
      <c r="G29" s="57"/>
    </row>
    <row r="30" spans="1:7" ht="15.75" customHeight="1">
      <c r="G30" s="57"/>
    </row>
    <row r="31" spans="1:7" ht="15.75" customHeight="1">
      <c r="G31" s="57"/>
    </row>
    <row r="32" spans="1:7" ht="15.75" customHeight="1">
      <c r="G32" s="57"/>
    </row>
    <row r="33" spans="7:7" ht="15.75" customHeight="1">
      <c r="G33" s="57"/>
    </row>
    <row r="34" spans="7:7" ht="15.75" customHeight="1">
      <c r="G34" s="57"/>
    </row>
    <row r="35" spans="7:7" ht="15.75" customHeight="1">
      <c r="G35" s="57"/>
    </row>
    <row r="36" spans="7:7" ht="15.75" customHeight="1">
      <c r="G36" s="57"/>
    </row>
    <row r="37" spans="7:7" ht="15.75" customHeight="1">
      <c r="G37" s="57"/>
    </row>
    <row r="38" spans="7:7" ht="15.75" customHeight="1">
      <c r="G38" s="57"/>
    </row>
    <row r="39" spans="7:7" ht="15.75" customHeight="1">
      <c r="G39" s="57"/>
    </row>
    <row r="40" spans="7:7" ht="15.75" customHeight="1">
      <c r="G40" s="57"/>
    </row>
    <row r="41" spans="7:7" ht="15.75" customHeight="1">
      <c r="G41" s="57"/>
    </row>
    <row r="42" spans="7:7" ht="15.75" customHeight="1">
      <c r="G42" s="57"/>
    </row>
    <row r="43" spans="7:7" ht="15.75" customHeight="1">
      <c r="G43" s="57"/>
    </row>
    <row r="44" spans="7:7" ht="15.75" customHeight="1">
      <c r="G44" s="57"/>
    </row>
    <row r="45" spans="7:7" ht="15.75" customHeight="1">
      <c r="G45" s="57"/>
    </row>
    <row r="46" spans="7:7" ht="15.75" customHeight="1">
      <c r="G46" s="57"/>
    </row>
    <row r="47" spans="7:7" ht="15.75" customHeight="1">
      <c r="G47" s="57"/>
    </row>
    <row r="48" spans="7:7" ht="15.75" customHeight="1">
      <c r="G48" s="57"/>
    </row>
    <row r="49" spans="7:7" ht="15.75" customHeight="1">
      <c r="G49" s="57"/>
    </row>
    <row r="50" spans="7:7" ht="15.75" customHeight="1">
      <c r="G50" s="57"/>
    </row>
    <row r="51" spans="7:7" ht="15.75" customHeight="1">
      <c r="G51" s="57"/>
    </row>
    <row r="52" spans="7:7" ht="15.75" customHeight="1">
      <c r="G52" s="57"/>
    </row>
    <row r="53" spans="7:7" ht="15.75" customHeight="1">
      <c r="G53" s="57"/>
    </row>
    <row r="54" spans="7:7" ht="15.75" customHeight="1">
      <c r="G54" s="57"/>
    </row>
    <row r="55" spans="7:7" ht="15.75" customHeight="1">
      <c r="G55" s="57"/>
    </row>
    <row r="56" spans="7:7" ht="15.75" customHeight="1">
      <c r="G56" s="57"/>
    </row>
    <row r="57" spans="7:7" ht="15.75" customHeight="1">
      <c r="G57" s="57"/>
    </row>
    <row r="58" spans="7:7" ht="15.75" customHeight="1">
      <c r="G58" s="57"/>
    </row>
    <row r="59" spans="7:7" ht="15.75" customHeight="1">
      <c r="G59" s="57"/>
    </row>
    <row r="60" spans="7:7" ht="15.75" customHeight="1">
      <c r="G60" s="57"/>
    </row>
    <row r="61" spans="7:7" ht="15.75" customHeight="1">
      <c r="G61" s="57"/>
    </row>
    <row r="62" spans="7:7" ht="15.75" customHeight="1">
      <c r="G62" s="57"/>
    </row>
    <row r="63" spans="7:7" ht="15.75" customHeight="1">
      <c r="G63" s="57"/>
    </row>
    <row r="64" spans="7:7" ht="15.75" customHeight="1">
      <c r="G64" s="57"/>
    </row>
    <row r="65" spans="7:7" ht="15.75" customHeight="1">
      <c r="G65" s="57"/>
    </row>
    <row r="66" spans="7:7" ht="15.75" customHeight="1">
      <c r="G66" s="57"/>
    </row>
    <row r="67" spans="7:7" ht="15.75" customHeight="1">
      <c r="G67" s="57"/>
    </row>
    <row r="68" spans="7:7" ht="15.75" customHeight="1">
      <c r="G68" s="57"/>
    </row>
    <row r="69" spans="7:7" ht="15.75" customHeight="1">
      <c r="G69" s="57"/>
    </row>
    <row r="70" spans="7:7" ht="15.75" customHeight="1">
      <c r="G70" s="57"/>
    </row>
    <row r="71" spans="7:7" ht="15.75" customHeight="1">
      <c r="G71" s="57"/>
    </row>
    <row r="72" spans="7:7" ht="15.75" customHeight="1">
      <c r="G72" s="57"/>
    </row>
    <row r="73" spans="7:7" ht="15.75" customHeight="1">
      <c r="G73" s="57"/>
    </row>
    <row r="74" spans="7:7" ht="15.75" customHeight="1">
      <c r="G74" s="57"/>
    </row>
    <row r="75" spans="7:7" ht="15.75" customHeight="1">
      <c r="G75" s="57"/>
    </row>
    <row r="76" spans="7:7" ht="15.75" customHeight="1">
      <c r="G76" s="57"/>
    </row>
    <row r="77" spans="7:7" ht="15.75" customHeight="1">
      <c r="G77" s="57"/>
    </row>
    <row r="78" spans="7:7" ht="15.75" customHeight="1">
      <c r="G78" s="57"/>
    </row>
    <row r="79" spans="7:7" ht="15.75" customHeight="1">
      <c r="G79" s="57"/>
    </row>
    <row r="80" spans="7:7" ht="15.75" customHeight="1">
      <c r="G80" s="57"/>
    </row>
    <row r="81" spans="7:7" ht="15.75" customHeight="1">
      <c r="G81" s="57"/>
    </row>
    <row r="82" spans="7:7" ht="15.75" customHeight="1">
      <c r="G82" s="57"/>
    </row>
    <row r="83" spans="7:7" ht="15.75" customHeight="1">
      <c r="G83" s="57"/>
    </row>
    <row r="84" spans="7:7" ht="15.75" customHeight="1">
      <c r="G84" s="57"/>
    </row>
    <row r="85" spans="7:7" ht="15.75" customHeight="1">
      <c r="G85" s="57"/>
    </row>
    <row r="86" spans="7:7" ht="13">
      <c r="G86" s="57"/>
    </row>
    <row r="87" spans="7:7" ht="13">
      <c r="G87" s="57"/>
    </row>
    <row r="88" spans="7:7" ht="13">
      <c r="G88" s="57"/>
    </row>
    <row r="89" spans="7:7" ht="13">
      <c r="G89" s="57"/>
    </row>
    <row r="90" spans="7:7" ht="13">
      <c r="G90" s="57"/>
    </row>
    <row r="91" spans="7:7" ht="13">
      <c r="G91" s="57"/>
    </row>
    <row r="92" spans="7:7" ht="13">
      <c r="G92" s="57"/>
    </row>
    <row r="93" spans="7:7" ht="13">
      <c r="G93" s="57"/>
    </row>
    <row r="94" spans="7:7" ht="13">
      <c r="G94" s="57"/>
    </row>
    <row r="95" spans="7:7" ht="13">
      <c r="G95" s="57"/>
    </row>
    <row r="96" spans="7:7" ht="13">
      <c r="G96" s="57"/>
    </row>
    <row r="97" spans="7:7" ht="13">
      <c r="G97" s="57"/>
    </row>
    <row r="98" spans="7:7" ht="13">
      <c r="G98" s="57"/>
    </row>
    <row r="99" spans="7:7" ht="13">
      <c r="G99" s="57"/>
    </row>
    <row r="100" spans="7:7" ht="13">
      <c r="G100" s="57"/>
    </row>
    <row r="101" spans="7:7" ht="13">
      <c r="G101" s="57"/>
    </row>
    <row r="102" spans="7:7" ht="13">
      <c r="G102" s="57"/>
    </row>
    <row r="103" spans="7:7" ht="13">
      <c r="G103" s="57"/>
    </row>
    <row r="104" spans="7:7" ht="13">
      <c r="G104" s="57"/>
    </row>
    <row r="105" spans="7:7" ht="13">
      <c r="G105" s="57"/>
    </row>
    <row r="106" spans="7:7" ht="13">
      <c r="G106" s="57"/>
    </row>
    <row r="107" spans="7:7" ht="13">
      <c r="G107" s="57"/>
    </row>
    <row r="108" spans="7:7" ht="13">
      <c r="G108" s="57"/>
    </row>
    <row r="109" spans="7:7" ht="13">
      <c r="G109" s="57"/>
    </row>
    <row r="110" spans="7:7" ht="13">
      <c r="G110" s="57"/>
    </row>
    <row r="111" spans="7:7" ht="13">
      <c r="G111" s="57"/>
    </row>
    <row r="112" spans="7:7" ht="13">
      <c r="G112" s="57"/>
    </row>
    <row r="113" spans="7:7" ht="13">
      <c r="G113" s="57"/>
    </row>
    <row r="114" spans="7:7" ht="13">
      <c r="G114" s="57"/>
    </row>
    <row r="115" spans="7:7" ht="13">
      <c r="G115" s="57"/>
    </row>
    <row r="116" spans="7:7" ht="13">
      <c r="G116" s="57"/>
    </row>
    <row r="117" spans="7:7" ht="13">
      <c r="G117" s="57"/>
    </row>
    <row r="118" spans="7:7" ht="13">
      <c r="G118" s="57"/>
    </row>
    <row r="119" spans="7:7" ht="13">
      <c r="G119" s="57"/>
    </row>
    <row r="120" spans="7:7" ht="13">
      <c r="G120" s="57"/>
    </row>
    <row r="121" spans="7:7" ht="13">
      <c r="G121" s="57"/>
    </row>
    <row r="122" spans="7:7" ht="13">
      <c r="G122" s="57"/>
    </row>
    <row r="123" spans="7:7" ht="13">
      <c r="G123" s="57"/>
    </row>
    <row r="124" spans="7:7" ht="13">
      <c r="G124" s="57"/>
    </row>
    <row r="125" spans="7:7" ht="13">
      <c r="G125" s="57"/>
    </row>
    <row r="126" spans="7:7" ht="13">
      <c r="G126" s="57"/>
    </row>
    <row r="127" spans="7:7" ht="13">
      <c r="G127" s="57"/>
    </row>
    <row r="128" spans="7:7" ht="13">
      <c r="G128" s="57"/>
    </row>
    <row r="129" spans="7:7" ht="13">
      <c r="G129" s="57"/>
    </row>
    <row r="130" spans="7:7" ht="13">
      <c r="G130" s="57"/>
    </row>
    <row r="131" spans="7:7" ht="13">
      <c r="G131" s="57"/>
    </row>
    <row r="132" spans="7:7" ht="13">
      <c r="G132" s="57"/>
    </row>
    <row r="133" spans="7:7" ht="13">
      <c r="G133" s="57"/>
    </row>
    <row r="134" spans="7:7" ht="13">
      <c r="G134" s="57"/>
    </row>
    <row r="135" spans="7:7" ht="13">
      <c r="G135" s="57"/>
    </row>
    <row r="136" spans="7:7" ht="13">
      <c r="G136" s="57"/>
    </row>
    <row r="137" spans="7:7" ht="13">
      <c r="G137" s="57"/>
    </row>
    <row r="138" spans="7:7" ht="13">
      <c r="G138" s="57"/>
    </row>
    <row r="139" spans="7:7" ht="13">
      <c r="G139" s="57"/>
    </row>
    <row r="140" spans="7:7" ht="13">
      <c r="G140" s="57"/>
    </row>
    <row r="141" spans="7:7" ht="13">
      <c r="G141" s="57"/>
    </row>
    <row r="142" spans="7:7" ht="13">
      <c r="G142" s="57"/>
    </row>
    <row r="143" spans="7:7" ht="13">
      <c r="G143" s="57"/>
    </row>
    <row r="144" spans="7:7" ht="13">
      <c r="G144" s="57"/>
    </row>
    <row r="145" spans="7:7" ht="13">
      <c r="G145" s="57"/>
    </row>
    <row r="146" spans="7:7" ht="13">
      <c r="G146" s="57"/>
    </row>
    <row r="147" spans="7:7" ht="13">
      <c r="G147" s="57"/>
    </row>
    <row r="148" spans="7:7" ht="13">
      <c r="G148" s="57"/>
    </row>
    <row r="149" spans="7:7" ht="13">
      <c r="G149" s="57"/>
    </row>
    <row r="150" spans="7:7" ht="13">
      <c r="G150" s="57"/>
    </row>
    <row r="151" spans="7:7" ht="13">
      <c r="G151" s="57"/>
    </row>
    <row r="152" spans="7:7" ht="13">
      <c r="G152" s="57"/>
    </row>
    <row r="153" spans="7:7" ht="13">
      <c r="G153" s="57"/>
    </row>
    <row r="154" spans="7:7" ht="13">
      <c r="G154" s="57"/>
    </row>
    <row r="155" spans="7:7" ht="13">
      <c r="G155" s="57"/>
    </row>
    <row r="156" spans="7:7" ht="13">
      <c r="G156" s="57"/>
    </row>
    <row r="157" spans="7:7" ht="13">
      <c r="G157" s="57"/>
    </row>
    <row r="158" spans="7:7" ht="13">
      <c r="G158" s="57"/>
    </row>
    <row r="159" spans="7:7" ht="13">
      <c r="G159" s="57"/>
    </row>
    <row r="160" spans="7:7" ht="13">
      <c r="G160" s="57"/>
    </row>
    <row r="161" spans="7:7" ht="13">
      <c r="G161" s="57"/>
    </row>
    <row r="162" spans="7:7" ht="13">
      <c r="G162" s="57"/>
    </row>
    <row r="163" spans="7:7" ht="13">
      <c r="G163" s="57"/>
    </row>
    <row r="164" spans="7:7" ht="13">
      <c r="G164" s="57"/>
    </row>
    <row r="165" spans="7:7" ht="13">
      <c r="G165" s="57"/>
    </row>
    <row r="166" spans="7:7" ht="13">
      <c r="G166" s="57"/>
    </row>
    <row r="167" spans="7:7" ht="13">
      <c r="G167" s="57"/>
    </row>
    <row r="168" spans="7:7" ht="13">
      <c r="G168" s="57"/>
    </row>
    <row r="169" spans="7:7" ht="13">
      <c r="G169" s="57"/>
    </row>
    <row r="170" spans="7:7" ht="13">
      <c r="G170" s="57"/>
    </row>
    <row r="171" spans="7:7" ht="13">
      <c r="G171" s="57"/>
    </row>
    <row r="172" spans="7:7" ht="13">
      <c r="G172" s="57"/>
    </row>
    <row r="173" spans="7:7" ht="13">
      <c r="G173" s="57"/>
    </row>
    <row r="174" spans="7:7" ht="13">
      <c r="G174" s="57"/>
    </row>
    <row r="175" spans="7:7" ht="13">
      <c r="G175" s="57"/>
    </row>
    <row r="176" spans="7:7" ht="13">
      <c r="G176" s="57"/>
    </row>
    <row r="177" spans="7:7" ht="13">
      <c r="G177" s="57"/>
    </row>
    <row r="178" spans="7:7" ht="13">
      <c r="G178" s="57"/>
    </row>
    <row r="179" spans="7:7" ht="13">
      <c r="G179" s="57"/>
    </row>
    <row r="180" spans="7:7" ht="13">
      <c r="G180" s="57"/>
    </row>
    <row r="181" spans="7:7" ht="13">
      <c r="G181" s="57"/>
    </row>
    <row r="182" spans="7:7" ht="13">
      <c r="G182" s="57"/>
    </row>
    <row r="183" spans="7:7" ht="13">
      <c r="G183" s="57"/>
    </row>
    <row r="184" spans="7:7" ht="13">
      <c r="G184" s="57"/>
    </row>
    <row r="185" spans="7:7" ht="13">
      <c r="G185" s="57"/>
    </row>
    <row r="186" spans="7:7" ht="13">
      <c r="G186" s="57"/>
    </row>
    <row r="187" spans="7:7" ht="13">
      <c r="G187" s="57"/>
    </row>
    <row r="188" spans="7:7" ht="13">
      <c r="G188" s="57"/>
    </row>
    <row r="189" spans="7:7" ht="13">
      <c r="G189" s="57"/>
    </row>
    <row r="190" spans="7:7" ht="13">
      <c r="G190" s="57"/>
    </row>
    <row r="191" spans="7:7" ht="13">
      <c r="G191" s="57"/>
    </row>
    <row r="192" spans="7:7" ht="13">
      <c r="G192" s="57"/>
    </row>
    <row r="193" spans="7:7" ht="13">
      <c r="G193" s="57"/>
    </row>
    <row r="194" spans="7:7" ht="13">
      <c r="G194" s="57"/>
    </row>
    <row r="195" spans="7:7" ht="13">
      <c r="G195" s="57"/>
    </row>
    <row r="196" spans="7:7" ht="13">
      <c r="G196" s="57"/>
    </row>
    <row r="197" spans="7:7" ht="13">
      <c r="G197" s="57"/>
    </row>
    <row r="198" spans="7:7" ht="13">
      <c r="G198" s="57"/>
    </row>
    <row r="199" spans="7:7" ht="13">
      <c r="G199" s="57"/>
    </row>
    <row r="200" spans="7:7" ht="13">
      <c r="G200" s="57"/>
    </row>
    <row r="201" spans="7:7" ht="13">
      <c r="G201" s="57"/>
    </row>
    <row r="202" spans="7:7" ht="13">
      <c r="G202" s="57"/>
    </row>
    <row r="203" spans="7:7" ht="13">
      <c r="G203" s="57"/>
    </row>
    <row r="204" spans="7:7" ht="13">
      <c r="G204" s="57"/>
    </row>
    <row r="205" spans="7:7" ht="13">
      <c r="G205" s="57"/>
    </row>
    <row r="206" spans="7:7" ht="13">
      <c r="G206" s="57"/>
    </row>
    <row r="207" spans="7:7" ht="13">
      <c r="G207" s="57"/>
    </row>
    <row r="208" spans="7:7" ht="13">
      <c r="G208" s="57"/>
    </row>
    <row r="209" spans="7:7" ht="13">
      <c r="G209" s="57"/>
    </row>
    <row r="210" spans="7:7" ht="13">
      <c r="G210" s="57"/>
    </row>
    <row r="211" spans="7:7" ht="13">
      <c r="G211" s="57"/>
    </row>
    <row r="212" spans="7:7" ht="13">
      <c r="G212" s="57"/>
    </row>
    <row r="213" spans="7:7" ht="13">
      <c r="G213" s="57"/>
    </row>
    <row r="214" spans="7:7" ht="13">
      <c r="G214" s="57"/>
    </row>
    <row r="215" spans="7:7" ht="13">
      <c r="G215" s="57"/>
    </row>
    <row r="216" spans="7:7" ht="13">
      <c r="G216" s="57"/>
    </row>
    <row r="217" spans="7:7" ht="13">
      <c r="G217" s="57"/>
    </row>
    <row r="218" spans="7:7" ht="13">
      <c r="G218" s="57"/>
    </row>
    <row r="219" spans="7:7" ht="13">
      <c r="G219" s="57"/>
    </row>
    <row r="220" spans="7:7" ht="13">
      <c r="G220" s="57"/>
    </row>
    <row r="221" spans="7:7" ht="13">
      <c r="G221" s="57"/>
    </row>
    <row r="222" spans="7:7" ht="13">
      <c r="G222" s="57"/>
    </row>
    <row r="223" spans="7:7" ht="13">
      <c r="G223" s="57"/>
    </row>
    <row r="224" spans="7:7" ht="13">
      <c r="G224" s="57"/>
    </row>
    <row r="225" spans="7:7" ht="13">
      <c r="G225" s="57"/>
    </row>
    <row r="226" spans="7:7" ht="13">
      <c r="G226" s="57"/>
    </row>
    <row r="227" spans="7:7" ht="13">
      <c r="G227" s="57"/>
    </row>
    <row r="228" spans="7:7" ht="13">
      <c r="G228" s="57"/>
    </row>
    <row r="229" spans="7:7" ht="13">
      <c r="G229" s="57"/>
    </row>
    <row r="230" spans="7:7" ht="13">
      <c r="G230" s="57"/>
    </row>
    <row r="231" spans="7:7" ht="13">
      <c r="G231" s="57"/>
    </row>
    <row r="232" spans="7:7" ht="13">
      <c r="G232" s="57"/>
    </row>
    <row r="233" spans="7:7" ht="13">
      <c r="G233" s="57"/>
    </row>
    <row r="234" spans="7:7" ht="13">
      <c r="G234" s="57"/>
    </row>
    <row r="235" spans="7:7" ht="13">
      <c r="G235" s="57"/>
    </row>
    <row r="236" spans="7:7" ht="13">
      <c r="G236" s="57"/>
    </row>
    <row r="237" spans="7:7" ht="13">
      <c r="G237" s="57"/>
    </row>
    <row r="238" spans="7:7" ht="13">
      <c r="G238" s="57"/>
    </row>
    <row r="239" spans="7:7" ht="13">
      <c r="G239" s="57"/>
    </row>
    <row r="240" spans="7:7" ht="13">
      <c r="G240" s="57"/>
    </row>
    <row r="241" spans="7:7" ht="13">
      <c r="G241" s="57"/>
    </row>
    <row r="242" spans="7:7" ht="13">
      <c r="G242" s="57"/>
    </row>
    <row r="243" spans="7:7" ht="13">
      <c r="G243" s="57"/>
    </row>
    <row r="244" spans="7:7" ht="13">
      <c r="G244" s="57"/>
    </row>
    <row r="245" spans="7:7" ht="13">
      <c r="G245" s="57"/>
    </row>
    <row r="246" spans="7:7" ht="13">
      <c r="G246" s="57"/>
    </row>
    <row r="247" spans="7:7" ht="13">
      <c r="G247" s="57"/>
    </row>
    <row r="248" spans="7:7" ht="13">
      <c r="G248" s="57"/>
    </row>
    <row r="249" spans="7:7" ht="13">
      <c r="G249" s="57"/>
    </row>
    <row r="250" spans="7:7" ht="13">
      <c r="G250" s="57"/>
    </row>
    <row r="251" spans="7:7" ht="13">
      <c r="G251" s="57"/>
    </row>
    <row r="252" spans="7:7" ht="13">
      <c r="G252" s="57"/>
    </row>
    <row r="253" spans="7:7" ht="13">
      <c r="G253" s="57"/>
    </row>
    <row r="254" spans="7:7" ht="13">
      <c r="G254" s="57"/>
    </row>
    <row r="255" spans="7:7" ht="13">
      <c r="G255" s="57"/>
    </row>
    <row r="256" spans="7:7" ht="13">
      <c r="G256" s="57"/>
    </row>
    <row r="257" spans="7:7" ht="13">
      <c r="G257" s="57"/>
    </row>
    <row r="258" spans="7:7" ht="13">
      <c r="G258" s="57"/>
    </row>
    <row r="259" spans="7:7" ht="13">
      <c r="G259" s="57"/>
    </row>
    <row r="260" spans="7:7" ht="13">
      <c r="G260" s="57"/>
    </row>
    <row r="261" spans="7:7" ht="13">
      <c r="G261" s="57"/>
    </row>
    <row r="262" spans="7:7" ht="13">
      <c r="G262" s="57"/>
    </row>
    <row r="263" spans="7:7" ht="13">
      <c r="G263" s="57"/>
    </row>
    <row r="264" spans="7:7" ht="13">
      <c r="G264" s="57"/>
    </row>
    <row r="265" spans="7:7" ht="13">
      <c r="G265" s="57"/>
    </row>
    <row r="266" spans="7:7" ht="13">
      <c r="G266" s="57"/>
    </row>
    <row r="267" spans="7:7" ht="13">
      <c r="G267" s="57"/>
    </row>
    <row r="268" spans="7:7" ht="13">
      <c r="G268" s="57"/>
    </row>
    <row r="269" spans="7:7" ht="13">
      <c r="G269" s="57"/>
    </row>
    <row r="270" spans="7:7" ht="13">
      <c r="G270" s="57"/>
    </row>
    <row r="271" spans="7:7" ht="13">
      <c r="G271" s="57"/>
    </row>
    <row r="272" spans="7:7" ht="13">
      <c r="G272" s="57"/>
    </row>
    <row r="273" spans="7:7" ht="13">
      <c r="G273" s="57"/>
    </row>
    <row r="274" spans="7:7" ht="13">
      <c r="G274" s="57"/>
    </row>
    <row r="275" spans="7:7" ht="13">
      <c r="G275" s="57"/>
    </row>
    <row r="276" spans="7:7" ht="13">
      <c r="G276" s="57"/>
    </row>
    <row r="277" spans="7:7" ht="13">
      <c r="G277" s="57"/>
    </row>
    <row r="278" spans="7:7" ht="13">
      <c r="G278" s="57"/>
    </row>
    <row r="279" spans="7:7" ht="13">
      <c r="G279" s="57"/>
    </row>
    <row r="280" spans="7:7" ht="13">
      <c r="G280" s="57"/>
    </row>
    <row r="281" spans="7:7" ht="13">
      <c r="G281" s="57"/>
    </row>
    <row r="282" spans="7:7" ht="13">
      <c r="G282" s="57"/>
    </row>
    <row r="283" spans="7:7" ht="13">
      <c r="G283" s="57"/>
    </row>
    <row r="284" spans="7:7" ht="13">
      <c r="G284" s="57"/>
    </row>
    <row r="285" spans="7:7" ht="13">
      <c r="G285" s="57"/>
    </row>
    <row r="286" spans="7:7" ht="13">
      <c r="G286" s="57"/>
    </row>
    <row r="287" spans="7:7" ht="13">
      <c r="G287" s="57"/>
    </row>
    <row r="288" spans="7:7" ht="13">
      <c r="G288" s="57"/>
    </row>
    <row r="289" spans="7:7" ht="13">
      <c r="G289" s="57"/>
    </row>
    <row r="290" spans="7:7" ht="13">
      <c r="G290" s="57"/>
    </row>
    <row r="291" spans="7:7" ht="13">
      <c r="G291" s="57"/>
    </row>
    <row r="292" spans="7:7" ht="13">
      <c r="G292" s="57"/>
    </row>
    <row r="293" spans="7:7" ht="13">
      <c r="G293" s="57"/>
    </row>
    <row r="294" spans="7:7" ht="13">
      <c r="G294" s="57"/>
    </row>
    <row r="295" spans="7:7" ht="13">
      <c r="G295" s="57"/>
    </row>
    <row r="296" spans="7:7" ht="13">
      <c r="G296" s="57"/>
    </row>
    <row r="297" spans="7:7" ht="13">
      <c r="G297" s="57"/>
    </row>
    <row r="298" spans="7:7" ht="13">
      <c r="G298" s="57"/>
    </row>
    <row r="299" spans="7:7" ht="13">
      <c r="G299" s="57"/>
    </row>
    <row r="300" spans="7:7" ht="13">
      <c r="G300" s="57"/>
    </row>
    <row r="301" spans="7:7" ht="13">
      <c r="G301" s="57"/>
    </row>
    <row r="302" spans="7:7" ht="13">
      <c r="G302" s="57"/>
    </row>
    <row r="303" spans="7:7" ht="13">
      <c r="G303" s="57"/>
    </row>
    <row r="304" spans="7:7" ht="13">
      <c r="G304" s="57"/>
    </row>
    <row r="305" spans="7:7" ht="13">
      <c r="G305" s="57"/>
    </row>
    <row r="306" spans="7:7" ht="13">
      <c r="G306" s="57"/>
    </row>
    <row r="307" spans="7:7" ht="13">
      <c r="G307" s="57"/>
    </row>
    <row r="308" spans="7:7" ht="13">
      <c r="G308" s="57"/>
    </row>
    <row r="309" spans="7:7" ht="13">
      <c r="G309" s="57"/>
    </row>
    <row r="310" spans="7:7" ht="13">
      <c r="G310" s="57"/>
    </row>
    <row r="311" spans="7:7" ht="13">
      <c r="G311" s="57"/>
    </row>
    <row r="312" spans="7:7" ht="13">
      <c r="G312" s="57"/>
    </row>
    <row r="313" spans="7:7" ht="13">
      <c r="G313" s="57"/>
    </row>
    <row r="314" spans="7:7" ht="13">
      <c r="G314" s="57"/>
    </row>
    <row r="315" spans="7:7" ht="13">
      <c r="G315" s="57"/>
    </row>
    <row r="316" spans="7:7" ht="13">
      <c r="G316" s="57"/>
    </row>
    <row r="317" spans="7:7" ht="13">
      <c r="G317" s="57"/>
    </row>
    <row r="318" spans="7:7" ht="13">
      <c r="G318" s="57"/>
    </row>
    <row r="319" spans="7:7" ht="13">
      <c r="G319" s="57"/>
    </row>
    <row r="320" spans="7:7" ht="13">
      <c r="G320" s="57"/>
    </row>
    <row r="321" spans="7:7" ht="13">
      <c r="G321" s="57"/>
    </row>
    <row r="322" spans="7:7" ht="13">
      <c r="G322" s="57"/>
    </row>
    <row r="323" spans="7:7" ht="13">
      <c r="G323" s="57"/>
    </row>
    <row r="324" spans="7:7" ht="13">
      <c r="G324" s="57"/>
    </row>
    <row r="325" spans="7:7" ht="13">
      <c r="G325" s="57"/>
    </row>
    <row r="326" spans="7:7" ht="13">
      <c r="G326" s="57"/>
    </row>
    <row r="327" spans="7:7" ht="13">
      <c r="G327" s="57"/>
    </row>
    <row r="328" spans="7:7" ht="13">
      <c r="G328" s="57"/>
    </row>
    <row r="329" spans="7:7" ht="13">
      <c r="G329" s="57"/>
    </row>
    <row r="330" spans="7:7" ht="13">
      <c r="G330" s="57"/>
    </row>
    <row r="331" spans="7:7" ht="13">
      <c r="G331" s="57"/>
    </row>
    <row r="332" spans="7:7" ht="13">
      <c r="G332" s="57"/>
    </row>
    <row r="333" spans="7:7" ht="13">
      <c r="G333" s="57"/>
    </row>
    <row r="334" spans="7:7" ht="13">
      <c r="G334" s="57"/>
    </row>
    <row r="335" spans="7:7" ht="13">
      <c r="G335" s="57"/>
    </row>
    <row r="336" spans="7:7" ht="13">
      <c r="G336" s="57"/>
    </row>
    <row r="337" spans="7:7" ht="13">
      <c r="G337" s="57"/>
    </row>
    <row r="338" spans="7:7" ht="13">
      <c r="G338" s="57"/>
    </row>
    <row r="339" spans="7:7" ht="13">
      <c r="G339" s="57"/>
    </row>
    <row r="340" spans="7:7" ht="13">
      <c r="G340" s="57"/>
    </row>
    <row r="341" spans="7:7" ht="13">
      <c r="G341" s="57"/>
    </row>
    <row r="342" spans="7:7" ht="13">
      <c r="G342" s="57"/>
    </row>
    <row r="343" spans="7:7" ht="13">
      <c r="G343" s="57"/>
    </row>
    <row r="344" spans="7:7" ht="13">
      <c r="G344" s="57"/>
    </row>
    <row r="345" spans="7:7" ht="13">
      <c r="G345" s="57"/>
    </row>
    <row r="346" spans="7:7" ht="13">
      <c r="G346" s="57"/>
    </row>
    <row r="347" spans="7:7" ht="13">
      <c r="G347" s="57"/>
    </row>
    <row r="348" spans="7:7" ht="13">
      <c r="G348" s="57"/>
    </row>
    <row r="349" spans="7:7" ht="13">
      <c r="G349" s="57"/>
    </row>
    <row r="350" spans="7:7" ht="13">
      <c r="G350" s="57"/>
    </row>
    <row r="351" spans="7:7" ht="13">
      <c r="G351" s="57"/>
    </row>
    <row r="352" spans="7:7" ht="13">
      <c r="G352" s="57"/>
    </row>
    <row r="353" spans="7:7" ht="13">
      <c r="G353" s="57"/>
    </row>
    <row r="354" spans="7:7" ht="13">
      <c r="G354" s="57"/>
    </row>
    <row r="355" spans="7:7" ht="13">
      <c r="G355" s="57"/>
    </row>
    <row r="356" spans="7:7" ht="13">
      <c r="G356" s="57"/>
    </row>
    <row r="357" spans="7:7" ht="13">
      <c r="G357" s="57"/>
    </row>
    <row r="358" spans="7:7" ht="13">
      <c r="G358" s="57"/>
    </row>
    <row r="359" spans="7:7" ht="13">
      <c r="G359" s="57"/>
    </row>
    <row r="360" spans="7:7" ht="13">
      <c r="G360" s="57"/>
    </row>
    <row r="361" spans="7:7" ht="13">
      <c r="G361" s="57"/>
    </row>
    <row r="362" spans="7:7" ht="13">
      <c r="G362" s="57"/>
    </row>
    <row r="363" spans="7:7" ht="13">
      <c r="G363" s="57"/>
    </row>
    <row r="364" spans="7:7" ht="13">
      <c r="G364" s="57"/>
    </row>
    <row r="365" spans="7:7" ht="13">
      <c r="G365" s="57"/>
    </row>
    <row r="366" spans="7:7" ht="13">
      <c r="G366" s="57"/>
    </row>
    <row r="367" spans="7:7" ht="13">
      <c r="G367" s="57"/>
    </row>
    <row r="368" spans="7:7" ht="13">
      <c r="G368" s="57"/>
    </row>
    <row r="369" spans="7:7" ht="13">
      <c r="G369" s="57"/>
    </row>
    <row r="370" spans="7:7" ht="13">
      <c r="G370" s="57"/>
    </row>
    <row r="371" spans="7:7" ht="13">
      <c r="G371" s="57"/>
    </row>
    <row r="372" spans="7:7" ht="13">
      <c r="G372" s="57"/>
    </row>
    <row r="373" spans="7:7" ht="13">
      <c r="G373" s="57"/>
    </row>
    <row r="374" spans="7:7" ht="13">
      <c r="G374" s="57"/>
    </row>
    <row r="375" spans="7:7" ht="13">
      <c r="G375" s="57"/>
    </row>
    <row r="376" spans="7:7" ht="13">
      <c r="G376" s="57"/>
    </row>
    <row r="377" spans="7:7" ht="13">
      <c r="G377" s="57"/>
    </row>
    <row r="378" spans="7:7" ht="13">
      <c r="G378" s="57"/>
    </row>
    <row r="379" spans="7:7" ht="13">
      <c r="G379" s="57"/>
    </row>
    <row r="380" spans="7:7" ht="13">
      <c r="G380" s="57"/>
    </row>
    <row r="381" spans="7:7" ht="13">
      <c r="G381" s="57"/>
    </row>
    <row r="382" spans="7:7" ht="13">
      <c r="G382" s="57"/>
    </row>
    <row r="383" spans="7:7" ht="13">
      <c r="G383" s="57"/>
    </row>
    <row r="384" spans="7:7" ht="13">
      <c r="G384" s="57"/>
    </row>
    <row r="385" spans="7:7" ht="13">
      <c r="G385" s="57"/>
    </row>
    <row r="386" spans="7:7" ht="13">
      <c r="G386" s="57"/>
    </row>
    <row r="387" spans="7:7" ht="13">
      <c r="G387" s="57"/>
    </row>
    <row r="388" spans="7:7" ht="13">
      <c r="G388" s="57"/>
    </row>
    <row r="389" spans="7:7" ht="13">
      <c r="G389" s="57"/>
    </row>
    <row r="390" spans="7:7" ht="13">
      <c r="G390" s="57"/>
    </row>
    <row r="391" spans="7:7" ht="13">
      <c r="G391" s="57"/>
    </row>
    <row r="392" spans="7:7" ht="13">
      <c r="G392" s="57"/>
    </row>
    <row r="393" spans="7:7" ht="13">
      <c r="G393" s="57"/>
    </row>
    <row r="394" spans="7:7" ht="13">
      <c r="G394" s="57"/>
    </row>
    <row r="395" spans="7:7" ht="13">
      <c r="G395" s="57"/>
    </row>
    <row r="396" spans="7:7" ht="13">
      <c r="G396" s="57"/>
    </row>
    <row r="397" spans="7:7" ht="13">
      <c r="G397" s="57"/>
    </row>
    <row r="398" spans="7:7" ht="13">
      <c r="G398" s="57"/>
    </row>
    <row r="399" spans="7:7" ht="13">
      <c r="G399" s="57"/>
    </row>
    <row r="400" spans="7:7" ht="13">
      <c r="G400" s="57"/>
    </row>
    <row r="401" spans="7:7" ht="13">
      <c r="G401" s="57"/>
    </row>
    <row r="402" spans="7:7" ht="13">
      <c r="G402" s="57"/>
    </row>
    <row r="403" spans="7:7" ht="13">
      <c r="G403" s="57"/>
    </row>
    <row r="404" spans="7:7" ht="13">
      <c r="G404" s="57"/>
    </row>
    <row r="405" spans="7:7" ht="13">
      <c r="G405" s="57"/>
    </row>
    <row r="406" spans="7:7" ht="13">
      <c r="G406" s="57"/>
    </row>
    <row r="407" spans="7:7" ht="13">
      <c r="G407" s="57"/>
    </row>
    <row r="408" spans="7:7" ht="13">
      <c r="G408" s="57"/>
    </row>
    <row r="409" spans="7:7" ht="13">
      <c r="G409" s="57"/>
    </row>
    <row r="410" spans="7:7" ht="13">
      <c r="G410" s="57"/>
    </row>
    <row r="411" spans="7:7" ht="13">
      <c r="G411" s="57"/>
    </row>
    <row r="412" spans="7:7" ht="13">
      <c r="G412" s="57"/>
    </row>
    <row r="413" spans="7:7" ht="13">
      <c r="G413" s="57"/>
    </row>
    <row r="414" spans="7:7" ht="13">
      <c r="G414" s="57"/>
    </row>
    <row r="415" spans="7:7" ht="13">
      <c r="G415" s="57"/>
    </row>
    <row r="416" spans="7:7" ht="13">
      <c r="G416" s="57"/>
    </row>
    <row r="417" spans="7:7" ht="13">
      <c r="G417" s="57"/>
    </row>
    <row r="418" spans="7:7" ht="13">
      <c r="G418" s="57"/>
    </row>
    <row r="419" spans="7:7" ht="13">
      <c r="G419" s="57"/>
    </row>
    <row r="420" spans="7:7" ht="13">
      <c r="G420" s="57"/>
    </row>
    <row r="421" spans="7:7" ht="13">
      <c r="G421" s="57"/>
    </row>
    <row r="422" spans="7:7" ht="13">
      <c r="G422" s="57"/>
    </row>
    <row r="423" spans="7:7" ht="13">
      <c r="G423" s="57"/>
    </row>
    <row r="424" spans="7:7" ht="13">
      <c r="G424" s="57"/>
    </row>
    <row r="425" spans="7:7" ht="13">
      <c r="G425" s="57"/>
    </row>
    <row r="426" spans="7:7" ht="13">
      <c r="G426" s="57"/>
    </row>
    <row r="427" spans="7:7" ht="13">
      <c r="G427" s="57"/>
    </row>
    <row r="428" spans="7:7" ht="13">
      <c r="G428" s="57"/>
    </row>
    <row r="429" spans="7:7" ht="13">
      <c r="G429" s="57"/>
    </row>
    <row r="430" spans="7:7" ht="13">
      <c r="G430" s="57"/>
    </row>
    <row r="431" spans="7:7" ht="13">
      <c r="G431" s="57"/>
    </row>
    <row r="432" spans="7:7" ht="13">
      <c r="G432" s="57"/>
    </row>
    <row r="433" spans="7:7" ht="13">
      <c r="G433" s="57"/>
    </row>
    <row r="434" spans="7:7" ht="13">
      <c r="G434" s="57"/>
    </row>
    <row r="435" spans="7:7" ht="13">
      <c r="G435" s="57"/>
    </row>
    <row r="436" spans="7:7" ht="13">
      <c r="G436" s="57"/>
    </row>
    <row r="437" spans="7:7" ht="13">
      <c r="G437" s="57"/>
    </row>
    <row r="438" spans="7:7" ht="13">
      <c r="G438" s="57"/>
    </row>
    <row r="439" spans="7:7" ht="13">
      <c r="G439" s="57"/>
    </row>
    <row r="440" spans="7:7" ht="13">
      <c r="G440" s="57"/>
    </row>
    <row r="441" spans="7:7" ht="13">
      <c r="G441" s="57"/>
    </row>
    <row r="442" spans="7:7" ht="13">
      <c r="G442" s="57"/>
    </row>
    <row r="443" spans="7:7" ht="13">
      <c r="G443" s="57"/>
    </row>
    <row r="444" spans="7:7" ht="13">
      <c r="G444" s="57"/>
    </row>
    <row r="445" spans="7:7" ht="13">
      <c r="G445" s="57"/>
    </row>
    <row r="446" spans="7:7" ht="13">
      <c r="G446" s="57"/>
    </row>
    <row r="447" spans="7:7" ht="13">
      <c r="G447" s="57"/>
    </row>
    <row r="448" spans="7:7" ht="13">
      <c r="G448" s="57"/>
    </row>
    <row r="449" spans="7:7" ht="13">
      <c r="G449" s="57"/>
    </row>
    <row r="450" spans="7:7" ht="13">
      <c r="G450" s="57"/>
    </row>
    <row r="451" spans="7:7" ht="13">
      <c r="G451" s="57"/>
    </row>
    <row r="452" spans="7:7" ht="13">
      <c r="G452" s="57"/>
    </row>
    <row r="453" spans="7:7" ht="13">
      <c r="G453" s="57"/>
    </row>
    <row r="454" spans="7:7" ht="13">
      <c r="G454" s="57"/>
    </row>
    <row r="455" spans="7:7" ht="13">
      <c r="G455" s="57"/>
    </row>
    <row r="456" spans="7:7" ht="13">
      <c r="G456" s="57"/>
    </row>
    <row r="457" spans="7:7" ht="13">
      <c r="G457" s="57"/>
    </row>
    <row r="458" spans="7:7" ht="13">
      <c r="G458" s="57"/>
    </row>
    <row r="459" spans="7:7" ht="13">
      <c r="G459" s="57"/>
    </row>
    <row r="460" spans="7:7" ht="13">
      <c r="G460" s="57"/>
    </row>
    <row r="461" spans="7:7" ht="13">
      <c r="G461" s="57"/>
    </row>
    <row r="462" spans="7:7" ht="13">
      <c r="G462" s="57"/>
    </row>
    <row r="463" spans="7:7" ht="13">
      <c r="G463" s="57"/>
    </row>
    <row r="464" spans="7:7" ht="13">
      <c r="G464" s="57"/>
    </row>
    <row r="465" spans="7:7" ht="13">
      <c r="G465" s="57"/>
    </row>
    <row r="466" spans="7:7" ht="13">
      <c r="G466" s="57"/>
    </row>
    <row r="467" spans="7:7" ht="13">
      <c r="G467" s="57"/>
    </row>
    <row r="468" spans="7:7" ht="13">
      <c r="G468" s="57"/>
    </row>
    <row r="469" spans="7:7" ht="13">
      <c r="G469" s="57"/>
    </row>
    <row r="470" spans="7:7" ht="13">
      <c r="G470" s="57"/>
    </row>
    <row r="471" spans="7:7" ht="13">
      <c r="G471" s="57"/>
    </row>
    <row r="472" spans="7:7" ht="13">
      <c r="G472" s="57"/>
    </row>
    <row r="473" spans="7:7" ht="13">
      <c r="G473" s="57"/>
    </row>
    <row r="474" spans="7:7" ht="13">
      <c r="G474" s="57"/>
    </row>
    <row r="475" spans="7:7" ht="13">
      <c r="G475" s="57"/>
    </row>
    <row r="476" spans="7:7" ht="13">
      <c r="G476" s="57"/>
    </row>
    <row r="477" spans="7:7" ht="13">
      <c r="G477" s="57"/>
    </row>
    <row r="478" spans="7:7" ht="13">
      <c r="G478" s="57"/>
    </row>
    <row r="479" spans="7:7" ht="13">
      <c r="G479" s="57"/>
    </row>
    <row r="480" spans="7:7" ht="13">
      <c r="G480" s="57"/>
    </row>
    <row r="481" spans="7:7" ht="13">
      <c r="G481" s="57"/>
    </row>
    <row r="482" spans="7:7" ht="13">
      <c r="G482" s="57"/>
    </row>
    <row r="483" spans="7:7" ht="13">
      <c r="G483" s="57"/>
    </row>
    <row r="484" spans="7:7" ht="13">
      <c r="G484" s="57"/>
    </row>
    <row r="485" spans="7:7" ht="13">
      <c r="G485" s="57"/>
    </row>
    <row r="486" spans="7:7" ht="13">
      <c r="G486" s="57"/>
    </row>
    <row r="487" spans="7:7" ht="13">
      <c r="G487" s="57"/>
    </row>
    <row r="488" spans="7:7" ht="13">
      <c r="G488" s="57"/>
    </row>
    <row r="489" spans="7:7" ht="13">
      <c r="G489" s="57"/>
    </row>
    <row r="490" spans="7:7" ht="13">
      <c r="G490" s="57"/>
    </row>
    <row r="491" spans="7:7" ht="13">
      <c r="G491" s="57"/>
    </row>
    <row r="492" spans="7:7" ht="13">
      <c r="G492" s="57"/>
    </row>
    <row r="493" spans="7:7" ht="13">
      <c r="G493" s="57"/>
    </row>
    <row r="494" spans="7:7" ht="13">
      <c r="G494" s="57"/>
    </row>
    <row r="495" spans="7:7" ht="13">
      <c r="G495" s="57"/>
    </row>
    <row r="496" spans="7:7" ht="13">
      <c r="G496" s="57"/>
    </row>
    <row r="497" spans="7:7" ht="13">
      <c r="G497" s="57"/>
    </row>
    <row r="498" spans="7:7" ht="13">
      <c r="G498" s="57"/>
    </row>
    <row r="499" spans="7:7" ht="13">
      <c r="G499" s="57"/>
    </row>
    <row r="500" spans="7:7" ht="13">
      <c r="G500" s="57"/>
    </row>
    <row r="501" spans="7:7" ht="13">
      <c r="G501" s="57"/>
    </row>
    <row r="502" spans="7:7" ht="13">
      <c r="G502" s="57"/>
    </row>
    <row r="503" spans="7:7" ht="13">
      <c r="G503" s="57"/>
    </row>
    <row r="504" spans="7:7" ht="13">
      <c r="G504" s="57"/>
    </row>
    <row r="505" spans="7:7" ht="13">
      <c r="G505" s="57"/>
    </row>
    <row r="506" spans="7:7" ht="13">
      <c r="G506" s="57"/>
    </row>
    <row r="507" spans="7:7" ht="13">
      <c r="G507" s="57"/>
    </row>
    <row r="508" spans="7:7" ht="13">
      <c r="G508" s="57"/>
    </row>
    <row r="509" spans="7:7" ht="13">
      <c r="G509" s="57"/>
    </row>
    <row r="510" spans="7:7" ht="13">
      <c r="G510" s="57"/>
    </row>
    <row r="511" spans="7:7" ht="13">
      <c r="G511" s="57"/>
    </row>
    <row r="512" spans="7:7" ht="13">
      <c r="G512" s="57"/>
    </row>
    <row r="513" spans="7:7" ht="13">
      <c r="G513" s="57"/>
    </row>
    <row r="514" spans="7:7" ht="13">
      <c r="G514" s="57"/>
    </row>
    <row r="515" spans="7:7" ht="13">
      <c r="G515" s="57"/>
    </row>
    <row r="516" spans="7:7" ht="13">
      <c r="G516" s="57"/>
    </row>
    <row r="517" spans="7:7" ht="13">
      <c r="G517" s="57"/>
    </row>
    <row r="518" spans="7:7" ht="13">
      <c r="G518" s="57"/>
    </row>
    <row r="519" spans="7:7" ht="13">
      <c r="G519" s="57"/>
    </row>
    <row r="520" spans="7:7" ht="13">
      <c r="G520" s="57"/>
    </row>
    <row r="521" spans="7:7" ht="13">
      <c r="G521" s="57"/>
    </row>
    <row r="522" spans="7:7" ht="13">
      <c r="G522" s="57"/>
    </row>
    <row r="523" spans="7:7" ht="13">
      <c r="G523" s="57"/>
    </row>
    <row r="524" spans="7:7" ht="13">
      <c r="G524" s="57"/>
    </row>
    <row r="525" spans="7:7" ht="13">
      <c r="G525" s="57"/>
    </row>
    <row r="526" spans="7:7" ht="13">
      <c r="G526" s="57"/>
    </row>
    <row r="527" spans="7:7" ht="13">
      <c r="G527" s="57"/>
    </row>
    <row r="528" spans="7:7" ht="13">
      <c r="G528" s="57"/>
    </row>
    <row r="529" spans="7:7" ht="13">
      <c r="G529" s="57"/>
    </row>
    <row r="530" spans="7:7" ht="13">
      <c r="G530" s="57"/>
    </row>
    <row r="531" spans="7:7" ht="13">
      <c r="G531" s="57"/>
    </row>
    <row r="532" spans="7:7" ht="13">
      <c r="G532" s="57"/>
    </row>
    <row r="533" spans="7:7" ht="13">
      <c r="G533" s="57"/>
    </row>
    <row r="534" spans="7:7" ht="13">
      <c r="G534" s="57"/>
    </row>
    <row r="535" spans="7:7" ht="13">
      <c r="G535" s="57"/>
    </row>
    <row r="536" spans="7:7" ht="13">
      <c r="G536" s="57"/>
    </row>
    <row r="537" spans="7:7" ht="13">
      <c r="G537" s="57"/>
    </row>
    <row r="538" spans="7:7" ht="13">
      <c r="G538" s="57"/>
    </row>
    <row r="539" spans="7:7" ht="13">
      <c r="G539" s="57"/>
    </row>
    <row r="540" spans="7:7" ht="13">
      <c r="G540" s="57"/>
    </row>
    <row r="541" spans="7:7" ht="13">
      <c r="G541" s="57"/>
    </row>
    <row r="542" spans="7:7" ht="13">
      <c r="G542" s="57"/>
    </row>
    <row r="543" spans="7:7" ht="13">
      <c r="G543" s="57"/>
    </row>
    <row r="544" spans="7:7" ht="13">
      <c r="G544" s="57"/>
    </row>
    <row r="545" spans="7:7" ht="13">
      <c r="G545" s="57"/>
    </row>
    <row r="546" spans="7:7" ht="13">
      <c r="G546" s="57"/>
    </row>
    <row r="547" spans="7:7" ht="13">
      <c r="G547" s="57"/>
    </row>
    <row r="548" spans="7:7" ht="13">
      <c r="G548" s="57"/>
    </row>
    <row r="549" spans="7:7" ht="13">
      <c r="G549" s="57"/>
    </row>
    <row r="550" spans="7:7" ht="13">
      <c r="G550" s="57"/>
    </row>
    <row r="551" spans="7:7" ht="13">
      <c r="G551" s="57"/>
    </row>
    <row r="552" spans="7:7" ht="13">
      <c r="G552" s="57"/>
    </row>
    <row r="553" spans="7:7" ht="13">
      <c r="G553" s="57"/>
    </row>
    <row r="554" spans="7:7" ht="13">
      <c r="G554" s="57"/>
    </row>
    <row r="555" spans="7:7" ht="13">
      <c r="G555" s="57"/>
    </row>
    <row r="556" spans="7:7" ht="13">
      <c r="G556" s="57"/>
    </row>
    <row r="557" spans="7:7" ht="13">
      <c r="G557" s="57"/>
    </row>
    <row r="558" spans="7:7" ht="13">
      <c r="G558" s="57"/>
    </row>
    <row r="559" spans="7:7" ht="13">
      <c r="G559" s="57"/>
    </row>
    <row r="560" spans="7:7" ht="13">
      <c r="G560" s="57"/>
    </row>
    <row r="561" spans="7:7" ht="13">
      <c r="G561" s="57"/>
    </row>
    <row r="562" spans="7:7" ht="13">
      <c r="G562" s="57"/>
    </row>
    <row r="563" spans="7:7" ht="13">
      <c r="G563" s="57"/>
    </row>
    <row r="564" spans="7:7" ht="13">
      <c r="G564" s="57"/>
    </row>
    <row r="565" spans="7:7" ht="13">
      <c r="G565" s="57"/>
    </row>
    <row r="566" spans="7:7" ht="13">
      <c r="G566" s="57"/>
    </row>
    <row r="567" spans="7:7" ht="13">
      <c r="G567" s="57"/>
    </row>
    <row r="568" spans="7:7" ht="13">
      <c r="G568" s="57"/>
    </row>
    <row r="569" spans="7:7" ht="13">
      <c r="G569" s="57"/>
    </row>
    <row r="570" spans="7:7" ht="13">
      <c r="G570" s="57"/>
    </row>
    <row r="571" spans="7:7" ht="13">
      <c r="G571" s="57"/>
    </row>
    <row r="572" spans="7:7" ht="13">
      <c r="G572" s="57"/>
    </row>
    <row r="573" spans="7:7" ht="13">
      <c r="G573" s="57"/>
    </row>
    <row r="574" spans="7:7" ht="13">
      <c r="G574" s="57"/>
    </row>
    <row r="575" spans="7:7" ht="13">
      <c r="G575" s="57"/>
    </row>
    <row r="576" spans="7:7" ht="13">
      <c r="G576" s="57"/>
    </row>
    <row r="577" spans="7:7" ht="13">
      <c r="G577" s="57"/>
    </row>
    <row r="578" spans="7:7" ht="13">
      <c r="G578" s="57"/>
    </row>
    <row r="579" spans="7:7" ht="13">
      <c r="G579" s="57"/>
    </row>
    <row r="580" spans="7:7" ht="13">
      <c r="G580" s="57"/>
    </row>
    <row r="581" spans="7:7" ht="13">
      <c r="G581" s="57"/>
    </row>
    <row r="582" spans="7:7" ht="13">
      <c r="G582" s="57"/>
    </row>
    <row r="583" spans="7:7" ht="13">
      <c r="G583" s="57"/>
    </row>
    <row r="584" spans="7:7" ht="13">
      <c r="G584" s="57"/>
    </row>
    <row r="585" spans="7:7" ht="13">
      <c r="G585" s="57"/>
    </row>
    <row r="586" spans="7:7" ht="13">
      <c r="G586" s="57"/>
    </row>
    <row r="587" spans="7:7" ht="13">
      <c r="G587" s="57"/>
    </row>
    <row r="588" spans="7:7" ht="13">
      <c r="G588" s="57"/>
    </row>
    <row r="589" spans="7:7" ht="13">
      <c r="G589" s="57"/>
    </row>
    <row r="590" spans="7:7" ht="13">
      <c r="G590" s="57"/>
    </row>
    <row r="591" spans="7:7" ht="13">
      <c r="G591" s="57"/>
    </row>
    <row r="592" spans="7:7" ht="13">
      <c r="G592" s="57"/>
    </row>
    <row r="593" spans="7:7" ht="13">
      <c r="G593" s="57"/>
    </row>
    <row r="594" spans="7:7" ht="13">
      <c r="G594" s="57"/>
    </row>
    <row r="595" spans="7:7" ht="13">
      <c r="G595" s="57"/>
    </row>
    <row r="596" spans="7:7" ht="13">
      <c r="G596" s="57"/>
    </row>
    <row r="597" spans="7:7" ht="13">
      <c r="G597" s="57"/>
    </row>
    <row r="598" spans="7:7" ht="13">
      <c r="G598" s="57"/>
    </row>
    <row r="599" spans="7:7" ht="13">
      <c r="G599" s="57"/>
    </row>
    <row r="600" spans="7:7" ht="13">
      <c r="G600" s="57"/>
    </row>
    <row r="601" spans="7:7" ht="13">
      <c r="G601" s="57"/>
    </row>
    <row r="602" spans="7:7" ht="13">
      <c r="G602" s="57"/>
    </row>
    <row r="603" spans="7:7" ht="13">
      <c r="G603" s="57"/>
    </row>
    <row r="604" spans="7:7" ht="13">
      <c r="G604" s="57"/>
    </row>
    <row r="605" spans="7:7" ht="13">
      <c r="G605" s="57"/>
    </row>
    <row r="606" spans="7:7" ht="13">
      <c r="G606" s="57"/>
    </row>
    <row r="607" spans="7:7" ht="13">
      <c r="G607" s="57"/>
    </row>
    <row r="608" spans="7:7" ht="13">
      <c r="G608" s="57"/>
    </row>
    <row r="609" spans="7:7" ht="13">
      <c r="G609" s="57"/>
    </row>
    <row r="610" spans="7:7" ht="13">
      <c r="G610" s="57"/>
    </row>
    <row r="611" spans="7:7" ht="13">
      <c r="G611" s="57"/>
    </row>
    <row r="612" spans="7:7" ht="13">
      <c r="G612" s="57"/>
    </row>
    <row r="613" spans="7:7" ht="13">
      <c r="G613" s="57"/>
    </row>
    <row r="614" spans="7:7" ht="13">
      <c r="G614" s="57"/>
    </row>
    <row r="615" spans="7:7" ht="13">
      <c r="G615" s="57"/>
    </row>
    <row r="616" spans="7:7" ht="13">
      <c r="G616" s="57"/>
    </row>
    <row r="617" spans="7:7" ht="13">
      <c r="G617" s="57"/>
    </row>
    <row r="618" spans="7:7" ht="13">
      <c r="G618" s="57"/>
    </row>
    <row r="619" spans="7:7" ht="13">
      <c r="G619" s="57"/>
    </row>
    <row r="620" spans="7:7" ht="13">
      <c r="G620" s="57"/>
    </row>
    <row r="621" spans="7:7" ht="13">
      <c r="G621" s="57"/>
    </row>
    <row r="622" spans="7:7" ht="13">
      <c r="G622" s="57"/>
    </row>
    <row r="623" spans="7:7" ht="13">
      <c r="G623" s="57"/>
    </row>
    <row r="624" spans="7:7" ht="13">
      <c r="G624" s="57"/>
    </row>
    <row r="625" spans="7:7" ht="13">
      <c r="G625" s="57"/>
    </row>
    <row r="626" spans="7:7" ht="13">
      <c r="G626" s="57"/>
    </row>
    <row r="627" spans="7:7" ht="13">
      <c r="G627" s="57"/>
    </row>
    <row r="628" spans="7:7" ht="13">
      <c r="G628" s="57"/>
    </row>
    <row r="629" spans="7:7" ht="13">
      <c r="G629" s="57"/>
    </row>
    <row r="630" spans="7:7" ht="13">
      <c r="G630" s="57"/>
    </row>
    <row r="631" spans="7:7" ht="13">
      <c r="G631" s="57"/>
    </row>
    <row r="632" spans="7:7" ht="13">
      <c r="G632" s="57"/>
    </row>
    <row r="633" spans="7:7" ht="13">
      <c r="G633" s="57"/>
    </row>
    <row r="634" spans="7:7" ht="13">
      <c r="G634" s="57"/>
    </row>
    <row r="635" spans="7:7" ht="13">
      <c r="G635" s="57"/>
    </row>
    <row r="636" spans="7:7" ht="13">
      <c r="G636" s="57"/>
    </row>
    <row r="637" spans="7:7" ht="13">
      <c r="G637" s="57"/>
    </row>
    <row r="638" spans="7:7" ht="13">
      <c r="G638" s="57"/>
    </row>
    <row r="639" spans="7:7" ht="13">
      <c r="G639" s="57"/>
    </row>
    <row r="640" spans="7:7" ht="13">
      <c r="G640" s="57"/>
    </row>
    <row r="641" spans="7:7" ht="13">
      <c r="G641" s="57"/>
    </row>
    <row r="642" spans="7:7" ht="13">
      <c r="G642" s="57"/>
    </row>
    <row r="643" spans="7:7" ht="13">
      <c r="G643" s="57"/>
    </row>
    <row r="644" spans="7:7" ht="13">
      <c r="G644" s="57"/>
    </row>
    <row r="645" spans="7:7" ht="13">
      <c r="G645" s="57"/>
    </row>
    <row r="646" spans="7:7" ht="13">
      <c r="G646" s="57"/>
    </row>
    <row r="647" spans="7:7" ht="13">
      <c r="G647" s="57"/>
    </row>
    <row r="648" spans="7:7" ht="13">
      <c r="G648" s="57"/>
    </row>
    <row r="649" spans="7:7" ht="13">
      <c r="G649" s="57"/>
    </row>
    <row r="650" spans="7:7" ht="13">
      <c r="G650" s="57"/>
    </row>
    <row r="651" spans="7:7" ht="13">
      <c r="G651" s="57"/>
    </row>
    <row r="652" spans="7:7" ht="13">
      <c r="G652" s="57"/>
    </row>
    <row r="653" spans="7:7" ht="13">
      <c r="G653" s="57"/>
    </row>
    <row r="654" spans="7:7" ht="13">
      <c r="G654" s="57"/>
    </row>
    <row r="655" spans="7:7" ht="13">
      <c r="G655" s="57"/>
    </row>
    <row r="656" spans="7:7" ht="13">
      <c r="G656" s="57"/>
    </row>
    <row r="657" spans="7:7" ht="13">
      <c r="G657" s="57"/>
    </row>
    <row r="658" spans="7:7" ht="13">
      <c r="G658" s="57"/>
    </row>
    <row r="659" spans="7:7" ht="13">
      <c r="G659" s="57"/>
    </row>
    <row r="660" spans="7:7" ht="13">
      <c r="G660" s="57"/>
    </row>
    <row r="661" spans="7:7" ht="13">
      <c r="G661" s="57"/>
    </row>
    <row r="662" spans="7:7" ht="13">
      <c r="G662" s="57"/>
    </row>
    <row r="663" spans="7:7" ht="13">
      <c r="G663" s="57"/>
    </row>
    <row r="664" spans="7:7" ht="13">
      <c r="G664" s="57"/>
    </row>
    <row r="665" spans="7:7" ht="13">
      <c r="G665" s="57"/>
    </row>
    <row r="666" spans="7:7" ht="13">
      <c r="G666" s="57"/>
    </row>
    <row r="667" spans="7:7" ht="13">
      <c r="G667" s="57"/>
    </row>
    <row r="668" spans="7:7" ht="13">
      <c r="G668" s="57"/>
    </row>
    <row r="669" spans="7:7" ht="13">
      <c r="G669" s="57"/>
    </row>
    <row r="670" spans="7:7" ht="13">
      <c r="G670" s="57"/>
    </row>
    <row r="671" spans="7:7" ht="13">
      <c r="G671" s="57"/>
    </row>
    <row r="672" spans="7:7" ht="13">
      <c r="G672" s="57"/>
    </row>
    <row r="673" spans="7:7" ht="13">
      <c r="G673" s="57"/>
    </row>
    <row r="674" spans="7:7" ht="13">
      <c r="G674" s="57"/>
    </row>
    <row r="675" spans="7:7" ht="13">
      <c r="G675" s="57"/>
    </row>
    <row r="676" spans="7:7" ht="13">
      <c r="G676" s="57"/>
    </row>
    <row r="677" spans="7:7" ht="13">
      <c r="G677" s="57"/>
    </row>
    <row r="678" spans="7:7" ht="13">
      <c r="G678" s="57"/>
    </row>
    <row r="679" spans="7:7" ht="13">
      <c r="G679" s="57"/>
    </row>
    <row r="680" spans="7:7" ht="13">
      <c r="G680" s="57"/>
    </row>
    <row r="681" spans="7:7" ht="13">
      <c r="G681" s="57"/>
    </row>
    <row r="682" spans="7:7" ht="13">
      <c r="G682" s="57"/>
    </row>
    <row r="683" spans="7:7" ht="13">
      <c r="G683" s="57"/>
    </row>
    <row r="684" spans="7:7" ht="13">
      <c r="G684" s="57"/>
    </row>
    <row r="685" spans="7:7" ht="13">
      <c r="G685" s="57"/>
    </row>
    <row r="686" spans="7:7" ht="13">
      <c r="G686" s="57"/>
    </row>
    <row r="687" spans="7:7" ht="13">
      <c r="G687" s="57"/>
    </row>
    <row r="688" spans="7:7" ht="13">
      <c r="G688" s="57"/>
    </row>
    <row r="689" spans="7:7" ht="13">
      <c r="G689" s="57"/>
    </row>
    <row r="690" spans="7:7" ht="13">
      <c r="G690" s="57"/>
    </row>
    <row r="691" spans="7:7" ht="13">
      <c r="G691" s="57"/>
    </row>
    <row r="692" spans="7:7" ht="13">
      <c r="G692" s="57"/>
    </row>
    <row r="693" spans="7:7" ht="13">
      <c r="G693" s="57"/>
    </row>
    <row r="694" spans="7:7" ht="13">
      <c r="G694" s="57"/>
    </row>
    <row r="695" spans="7:7" ht="13">
      <c r="G695" s="57"/>
    </row>
    <row r="696" spans="7:7" ht="13">
      <c r="G696" s="57"/>
    </row>
    <row r="697" spans="7:7" ht="13">
      <c r="G697" s="57"/>
    </row>
    <row r="698" spans="7:7" ht="13">
      <c r="G698" s="57"/>
    </row>
    <row r="699" spans="7:7" ht="13">
      <c r="G699" s="57"/>
    </row>
    <row r="700" spans="7:7" ht="13">
      <c r="G700" s="57"/>
    </row>
    <row r="701" spans="7:7" ht="13">
      <c r="G701" s="57"/>
    </row>
    <row r="702" spans="7:7" ht="13">
      <c r="G702" s="57"/>
    </row>
    <row r="703" spans="7:7" ht="13">
      <c r="G703" s="57"/>
    </row>
    <row r="704" spans="7:7" ht="13">
      <c r="G704" s="57"/>
    </row>
    <row r="705" spans="7:7" ht="13">
      <c r="G705" s="57"/>
    </row>
    <row r="706" spans="7:7" ht="13">
      <c r="G706" s="57"/>
    </row>
    <row r="707" spans="7:7" ht="13">
      <c r="G707" s="57"/>
    </row>
    <row r="708" spans="7:7" ht="13">
      <c r="G708" s="57"/>
    </row>
    <row r="709" spans="7:7" ht="13">
      <c r="G709" s="57"/>
    </row>
    <row r="710" spans="7:7" ht="13">
      <c r="G710" s="57"/>
    </row>
    <row r="711" spans="7:7" ht="13">
      <c r="G711" s="57"/>
    </row>
    <row r="712" spans="7:7" ht="13">
      <c r="G712" s="57"/>
    </row>
    <row r="713" spans="7:7" ht="13">
      <c r="G713" s="57"/>
    </row>
    <row r="714" spans="7:7" ht="13">
      <c r="G714" s="57"/>
    </row>
    <row r="715" spans="7:7" ht="13">
      <c r="G715" s="57"/>
    </row>
    <row r="716" spans="7:7" ht="13">
      <c r="G716" s="57"/>
    </row>
    <row r="717" spans="7:7" ht="13">
      <c r="G717" s="57"/>
    </row>
    <row r="718" spans="7:7" ht="13">
      <c r="G718" s="57"/>
    </row>
    <row r="719" spans="7:7" ht="13">
      <c r="G719" s="57"/>
    </row>
    <row r="720" spans="7:7" ht="13">
      <c r="G720" s="57"/>
    </row>
    <row r="721" spans="7:7" ht="13">
      <c r="G721" s="57"/>
    </row>
    <row r="722" spans="7:7" ht="13">
      <c r="G722" s="57"/>
    </row>
    <row r="723" spans="7:7" ht="13">
      <c r="G723" s="57"/>
    </row>
    <row r="724" spans="7:7" ht="13">
      <c r="G724" s="57"/>
    </row>
    <row r="725" spans="7:7" ht="13">
      <c r="G725" s="57"/>
    </row>
    <row r="726" spans="7:7" ht="13">
      <c r="G726" s="57"/>
    </row>
    <row r="727" spans="7:7" ht="13">
      <c r="G727" s="57"/>
    </row>
    <row r="728" spans="7:7" ht="13">
      <c r="G728" s="57"/>
    </row>
    <row r="729" spans="7:7" ht="13">
      <c r="G729" s="57"/>
    </row>
    <row r="730" spans="7:7" ht="13">
      <c r="G730" s="57"/>
    </row>
    <row r="731" spans="7:7" ht="13">
      <c r="G731" s="57"/>
    </row>
    <row r="732" spans="7:7" ht="13">
      <c r="G732" s="57"/>
    </row>
    <row r="733" spans="7:7" ht="13">
      <c r="G733" s="57"/>
    </row>
    <row r="734" spans="7:7" ht="13">
      <c r="G734" s="57"/>
    </row>
    <row r="735" spans="7:7" ht="13">
      <c r="G735" s="57"/>
    </row>
    <row r="736" spans="7:7" ht="13">
      <c r="G736" s="57"/>
    </row>
    <row r="737" spans="7:7" ht="13">
      <c r="G737" s="57"/>
    </row>
    <row r="738" spans="7:7" ht="13">
      <c r="G738" s="57"/>
    </row>
    <row r="739" spans="7:7" ht="13">
      <c r="G739" s="57"/>
    </row>
    <row r="740" spans="7:7" ht="13">
      <c r="G740" s="57"/>
    </row>
    <row r="741" spans="7:7" ht="13">
      <c r="G741" s="57"/>
    </row>
    <row r="742" spans="7:7" ht="13">
      <c r="G742" s="57"/>
    </row>
    <row r="743" spans="7:7" ht="13">
      <c r="G743" s="57"/>
    </row>
    <row r="744" spans="7:7" ht="13">
      <c r="G744" s="57"/>
    </row>
    <row r="745" spans="7:7" ht="13">
      <c r="G745" s="57"/>
    </row>
    <row r="746" spans="7:7" ht="13">
      <c r="G746" s="57"/>
    </row>
    <row r="747" spans="7:7" ht="13">
      <c r="G747" s="57"/>
    </row>
    <row r="748" spans="7:7" ht="13">
      <c r="G748" s="57"/>
    </row>
    <row r="749" spans="7:7" ht="13">
      <c r="G749" s="57"/>
    </row>
    <row r="750" spans="7:7" ht="13">
      <c r="G750" s="57"/>
    </row>
    <row r="751" spans="7:7" ht="13">
      <c r="G751" s="57"/>
    </row>
    <row r="752" spans="7:7" ht="13">
      <c r="G752" s="57"/>
    </row>
    <row r="753" spans="7:7" ht="13">
      <c r="G753" s="57"/>
    </row>
    <row r="754" spans="7:7" ht="13">
      <c r="G754" s="57"/>
    </row>
    <row r="755" spans="7:7" ht="13">
      <c r="G755" s="57"/>
    </row>
    <row r="756" spans="7:7" ht="13">
      <c r="G756" s="57"/>
    </row>
    <row r="757" spans="7:7" ht="13">
      <c r="G757" s="57"/>
    </row>
    <row r="758" spans="7:7" ht="13">
      <c r="G758" s="57"/>
    </row>
    <row r="759" spans="7:7" ht="13">
      <c r="G759" s="57"/>
    </row>
    <row r="760" spans="7:7" ht="13">
      <c r="G760" s="57"/>
    </row>
    <row r="761" spans="7:7" ht="13">
      <c r="G761" s="57"/>
    </row>
    <row r="762" spans="7:7" ht="13">
      <c r="G762" s="57"/>
    </row>
    <row r="763" spans="7:7" ht="13">
      <c r="G763" s="57"/>
    </row>
    <row r="764" spans="7:7" ht="13">
      <c r="G764" s="57"/>
    </row>
    <row r="765" spans="7:7" ht="13">
      <c r="G765" s="57"/>
    </row>
    <row r="766" spans="7:7" ht="13">
      <c r="G766" s="57"/>
    </row>
    <row r="767" spans="7:7" ht="13">
      <c r="G767" s="57"/>
    </row>
    <row r="768" spans="7:7" ht="13">
      <c r="G768" s="57"/>
    </row>
    <row r="769" spans="7:7" ht="13">
      <c r="G769" s="57"/>
    </row>
    <row r="770" spans="7:7" ht="13">
      <c r="G770" s="57"/>
    </row>
    <row r="771" spans="7:7" ht="13">
      <c r="G771" s="57"/>
    </row>
    <row r="772" spans="7:7" ht="13">
      <c r="G772" s="57"/>
    </row>
    <row r="773" spans="7:7" ht="13">
      <c r="G773" s="57"/>
    </row>
    <row r="774" spans="7:7" ht="13">
      <c r="G774" s="57"/>
    </row>
    <row r="775" spans="7:7" ht="13">
      <c r="G775" s="57"/>
    </row>
    <row r="776" spans="7:7" ht="13">
      <c r="G776" s="57"/>
    </row>
    <row r="777" spans="7:7" ht="13">
      <c r="G777" s="57"/>
    </row>
    <row r="778" spans="7:7" ht="13">
      <c r="G778" s="57"/>
    </row>
    <row r="779" spans="7:7" ht="13">
      <c r="G779" s="57"/>
    </row>
    <row r="780" spans="7:7" ht="13">
      <c r="G780" s="57"/>
    </row>
    <row r="781" spans="7:7" ht="13">
      <c r="G781" s="57"/>
    </row>
    <row r="782" spans="7:7" ht="13">
      <c r="G782" s="57"/>
    </row>
    <row r="783" spans="7:7" ht="13">
      <c r="G783" s="57"/>
    </row>
    <row r="784" spans="7:7" ht="13">
      <c r="G784" s="57"/>
    </row>
    <row r="785" spans="7:7" ht="13">
      <c r="G785" s="57"/>
    </row>
    <row r="786" spans="7:7" ht="13">
      <c r="G786" s="57"/>
    </row>
    <row r="787" spans="7:7" ht="13">
      <c r="G787" s="57"/>
    </row>
    <row r="788" spans="7:7" ht="13">
      <c r="G788" s="57"/>
    </row>
    <row r="789" spans="7:7" ht="13">
      <c r="G789" s="57"/>
    </row>
    <row r="790" spans="7:7" ht="13">
      <c r="G790" s="57"/>
    </row>
    <row r="791" spans="7:7" ht="13">
      <c r="G791" s="57"/>
    </row>
    <row r="792" spans="7:7" ht="13">
      <c r="G792" s="57"/>
    </row>
    <row r="793" spans="7:7" ht="13">
      <c r="G793" s="57"/>
    </row>
    <row r="794" spans="7:7" ht="13">
      <c r="G794" s="57"/>
    </row>
    <row r="795" spans="7:7" ht="13">
      <c r="G795" s="57"/>
    </row>
    <row r="796" spans="7:7" ht="13">
      <c r="G796" s="57"/>
    </row>
    <row r="797" spans="7:7" ht="13">
      <c r="G797" s="57"/>
    </row>
    <row r="798" spans="7:7" ht="13">
      <c r="G798" s="57"/>
    </row>
    <row r="799" spans="7:7" ht="13">
      <c r="G799" s="57"/>
    </row>
    <row r="800" spans="7:7" ht="13">
      <c r="G800" s="57"/>
    </row>
    <row r="801" spans="7:7" ht="13">
      <c r="G801" s="57"/>
    </row>
    <row r="802" spans="7:7" ht="13">
      <c r="G802" s="57"/>
    </row>
    <row r="803" spans="7:7" ht="13">
      <c r="G803" s="57"/>
    </row>
    <row r="804" spans="7:7" ht="13">
      <c r="G804" s="57"/>
    </row>
    <row r="805" spans="7:7" ht="13">
      <c r="G805" s="57"/>
    </row>
    <row r="806" spans="7:7" ht="13">
      <c r="G806" s="57"/>
    </row>
    <row r="807" spans="7:7" ht="13">
      <c r="G807" s="57"/>
    </row>
    <row r="808" spans="7:7" ht="13">
      <c r="G808" s="57"/>
    </row>
    <row r="809" spans="7:7" ht="13">
      <c r="G809" s="57"/>
    </row>
    <row r="810" spans="7:7" ht="13">
      <c r="G810" s="57"/>
    </row>
    <row r="811" spans="7:7" ht="13">
      <c r="G811" s="57"/>
    </row>
    <row r="812" spans="7:7" ht="13">
      <c r="G812" s="57"/>
    </row>
    <row r="813" spans="7:7" ht="13">
      <c r="G813" s="57"/>
    </row>
    <row r="814" spans="7:7" ht="13">
      <c r="G814" s="57"/>
    </row>
    <row r="815" spans="7:7" ht="13">
      <c r="G815" s="57"/>
    </row>
    <row r="816" spans="7:7" ht="13">
      <c r="G816" s="57"/>
    </row>
    <row r="817" spans="7:7" ht="13">
      <c r="G817" s="57"/>
    </row>
    <row r="818" spans="7:7" ht="13">
      <c r="G818" s="57"/>
    </row>
    <row r="819" spans="7:7" ht="13">
      <c r="G819" s="57"/>
    </row>
    <row r="820" spans="7:7" ht="13">
      <c r="G820" s="57"/>
    </row>
    <row r="821" spans="7:7" ht="13">
      <c r="G821" s="57"/>
    </row>
    <row r="822" spans="7:7" ht="13">
      <c r="G822" s="57"/>
    </row>
    <row r="823" spans="7:7" ht="13">
      <c r="G823" s="57"/>
    </row>
    <row r="824" spans="7:7" ht="13">
      <c r="G824" s="57"/>
    </row>
    <row r="825" spans="7:7" ht="13">
      <c r="G825" s="57"/>
    </row>
    <row r="826" spans="7:7" ht="13">
      <c r="G826" s="57"/>
    </row>
    <row r="827" spans="7:7" ht="13">
      <c r="G827" s="57"/>
    </row>
    <row r="828" spans="7:7" ht="13">
      <c r="G828" s="57"/>
    </row>
    <row r="829" spans="7:7" ht="13">
      <c r="G829" s="57"/>
    </row>
    <row r="830" spans="7:7" ht="13">
      <c r="G830" s="57"/>
    </row>
    <row r="831" spans="7:7" ht="13">
      <c r="G831" s="57"/>
    </row>
    <row r="832" spans="7:7" ht="13">
      <c r="G832" s="57"/>
    </row>
    <row r="833" spans="7:7" ht="13">
      <c r="G833" s="57"/>
    </row>
    <row r="834" spans="7:7" ht="13">
      <c r="G834" s="57"/>
    </row>
    <row r="835" spans="7:7" ht="13">
      <c r="G835" s="57"/>
    </row>
    <row r="836" spans="7:7" ht="13">
      <c r="G836" s="57"/>
    </row>
    <row r="837" spans="7:7" ht="13">
      <c r="G837" s="57"/>
    </row>
    <row r="838" spans="7:7" ht="13">
      <c r="G838" s="57"/>
    </row>
    <row r="839" spans="7:7" ht="13">
      <c r="G839" s="57"/>
    </row>
    <row r="840" spans="7:7" ht="13">
      <c r="G840" s="57"/>
    </row>
    <row r="841" spans="7:7" ht="13">
      <c r="G841" s="57"/>
    </row>
    <row r="842" spans="7:7" ht="13">
      <c r="G842" s="57"/>
    </row>
    <row r="843" spans="7:7" ht="13">
      <c r="G843" s="57"/>
    </row>
    <row r="844" spans="7:7" ht="13">
      <c r="G844" s="57"/>
    </row>
    <row r="845" spans="7:7" ht="13">
      <c r="G845" s="57"/>
    </row>
    <row r="846" spans="7:7" ht="13">
      <c r="G846" s="57"/>
    </row>
    <row r="847" spans="7:7" ht="13">
      <c r="G847" s="57"/>
    </row>
    <row r="848" spans="7:7" ht="13">
      <c r="G848" s="57"/>
    </row>
    <row r="849" spans="7:7" ht="13">
      <c r="G849" s="57"/>
    </row>
    <row r="850" spans="7:7" ht="13">
      <c r="G850" s="57"/>
    </row>
    <row r="851" spans="7:7" ht="13">
      <c r="G851" s="57"/>
    </row>
    <row r="852" spans="7:7" ht="13">
      <c r="G852" s="57"/>
    </row>
    <row r="853" spans="7:7" ht="13">
      <c r="G853" s="57"/>
    </row>
    <row r="854" spans="7:7" ht="13">
      <c r="G854" s="57"/>
    </row>
    <row r="855" spans="7:7" ht="13">
      <c r="G855" s="57"/>
    </row>
    <row r="856" spans="7:7" ht="13">
      <c r="G856" s="57"/>
    </row>
    <row r="857" spans="7:7" ht="13">
      <c r="G857" s="57"/>
    </row>
    <row r="858" spans="7:7" ht="13">
      <c r="G858" s="57"/>
    </row>
    <row r="859" spans="7:7" ht="13">
      <c r="G859" s="57"/>
    </row>
    <row r="860" spans="7:7" ht="13">
      <c r="G860" s="57"/>
    </row>
    <row r="861" spans="7:7" ht="13">
      <c r="G861" s="57"/>
    </row>
    <row r="862" spans="7:7" ht="13">
      <c r="G862" s="57"/>
    </row>
    <row r="863" spans="7:7" ht="13">
      <c r="G863" s="57"/>
    </row>
    <row r="864" spans="7:7" ht="13">
      <c r="G864" s="57"/>
    </row>
    <row r="865" spans="7:7" ht="13">
      <c r="G865" s="57"/>
    </row>
    <row r="866" spans="7:7" ht="13">
      <c r="G866" s="57"/>
    </row>
    <row r="867" spans="7:7" ht="13">
      <c r="G867" s="57"/>
    </row>
    <row r="868" spans="7:7" ht="13">
      <c r="G868" s="57"/>
    </row>
    <row r="869" spans="7:7" ht="13">
      <c r="G869" s="57"/>
    </row>
    <row r="870" spans="7:7" ht="13">
      <c r="G870" s="57"/>
    </row>
    <row r="871" spans="7:7" ht="13">
      <c r="G871" s="57"/>
    </row>
    <row r="872" spans="7:7" ht="13">
      <c r="G872" s="57"/>
    </row>
    <row r="873" spans="7:7" ht="13">
      <c r="G873" s="57"/>
    </row>
    <row r="874" spans="7:7" ht="13">
      <c r="G874" s="57"/>
    </row>
    <row r="875" spans="7:7" ht="13">
      <c r="G875" s="57"/>
    </row>
    <row r="876" spans="7:7" ht="13">
      <c r="G876" s="57"/>
    </row>
    <row r="877" spans="7:7" ht="13">
      <c r="G877" s="57"/>
    </row>
    <row r="878" spans="7:7" ht="13">
      <c r="G878" s="57"/>
    </row>
    <row r="879" spans="7:7" ht="13">
      <c r="G879" s="57"/>
    </row>
    <row r="880" spans="7:7" ht="13">
      <c r="G880" s="57"/>
    </row>
    <row r="881" spans="7:7" ht="13">
      <c r="G881" s="57"/>
    </row>
    <row r="882" spans="7:7" ht="13">
      <c r="G882" s="57"/>
    </row>
    <row r="883" spans="7:7" ht="13">
      <c r="G883" s="57"/>
    </row>
    <row r="884" spans="7:7" ht="13">
      <c r="G884" s="57"/>
    </row>
    <row r="885" spans="7:7" ht="13">
      <c r="G885" s="57"/>
    </row>
    <row r="886" spans="7:7" ht="13">
      <c r="G886" s="57"/>
    </row>
    <row r="887" spans="7:7" ht="13">
      <c r="G887" s="57"/>
    </row>
    <row r="888" spans="7:7" ht="13">
      <c r="G888" s="57"/>
    </row>
    <row r="889" spans="7:7" ht="13">
      <c r="G889" s="57"/>
    </row>
    <row r="890" spans="7:7" ht="13">
      <c r="G890" s="57"/>
    </row>
    <row r="891" spans="7:7" ht="13">
      <c r="G891" s="57"/>
    </row>
    <row r="892" spans="7:7" ht="13">
      <c r="G892" s="57"/>
    </row>
    <row r="893" spans="7:7" ht="13">
      <c r="G893" s="57"/>
    </row>
    <row r="894" spans="7:7" ht="13">
      <c r="G894" s="57"/>
    </row>
    <row r="895" spans="7:7" ht="13">
      <c r="G895" s="57"/>
    </row>
    <row r="896" spans="7:7" ht="13">
      <c r="G896" s="57"/>
    </row>
    <row r="897" spans="7:7" ht="13">
      <c r="G897" s="57"/>
    </row>
    <row r="898" spans="7:7" ht="13">
      <c r="G898" s="57"/>
    </row>
    <row r="899" spans="7:7" ht="13">
      <c r="G899" s="57"/>
    </row>
    <row r="900" spans="7:7" ht="13">
      <c r="G900" s="57"/>
    </row>
    <row r="901" spans="7:7" ht="13">
      <c r="G901" s="57"/>
    </row>
    <row r="902" spans="7:7" ht="13">
      <c r="G902" s="57"/>
    </row>
    <row r="903" spans="7:7" ht="13">
      <c r="G903" s="57"/>
    </row>
    <row r="904" spans="7:7" ht="13">
      <c r="G904" s="57"/>
    </row>
    <row r="905" spans="7:7" ht="13">
      <c r="G905" s="57"/>
    </row>
    <row r="906" spans="7:7" ht="13">
      <c r="G906" s="57"/>
    </row>
    <row r="907" spans="7:7" ht="13">
      <c r="G907" s="57"/>
    </row>
    <row r="908" spans="7:7" ht="13">
      <c r="G908" s="57"/>
    </row>
    <row r="909" spans="7:7" ht="13">
      <c r="G909" s="57"/>
    </row>
    <row r="910" spans="7:7" ht="13">
      <c r="G910" s="57"/>
    </row>
    <row r="911" spans="7:7" ht="13">
      <c r="G911" s="57"/>
    </row>
    <row r="912" spans="7:7" ht="13">
      <c r="G912" s="57"/>
    </row>
    <row r="913" spans="7:7" ht="13">
      <c r="G913" s="57"/>
    </row>
    <row r="914" spans="7:7" ht="13">
      <c r="G914" s="57"/>
    </row>
    <row r="915" spans="7:7" ht="13">
      <c r="G915" s="57"/>
    </row>
    <row r="916" spans="7:7" ht="13">
      <c r="G916" s="57"/>
    </row>
    <row r="917" spans="7:7" ht="13">
      <c r="G917" s="57"/>
    </row>
    <row r="918" spans="7:7" ht="13">
      <c r="G918" s="57"/>
    </row>
    <row r="919" spans="7:7" ht="13">
      <c r="G919" s="57"/>
    </row>
    <row r="920" spans="7:7" ht="13">
      <c r="G920" s="57"/>
    </row>
    <row r="921" spans="7:7" ht="13">
      <c r="G921" s="57"/>
    </row>
    <row r="922" spans="7:7" ht="13">
      <c r="G922" s="57"/>
    </row>
    <row r="923" spans="7:7" ht="13">
      <c r="G923" s="57"/>
    </row>
    <row r="924" spans="7:7" ht="13">
      <c r="G924" s="57"/>
    </row>
    <row r="925" spans="7:7" ht="13">
      <c r="G925" s="57"/>
    </row>
    <row r="926" spans="7:7" ht="13">
      <c r="G926" s="57"/>
    </row>
    <row r="927" spans="7:7" ht="13">
      <c r="G927" s="57"/>
    </row>
    <row r="928" spans="7:7" ht="13">
      <c r="G928" s="57"/>
    </row>
    <row r="929" spans="7:7" ht="13">
      <c r="G929" s="57"/>
    </row>
    <row r="930" spans="7:7" ht="13">
      <c r="G930" s="57"/>
    </row>
    <row r="931" spans="7:7" ht="13">
      <c r="G931" s="57"/>
    </row>
    <row r="932" spans="7:7" ht="13">
      <c r="G932" s="57"/>
    </row>
    <row r="933" spans="7:7" ht="13">
      <c r="G933" s="57"/>
    </row>
    <row r="934" spans="7:7" ht="13">
      <c r="G934" s="57"/>
    </row>
    <row r="935" spans="7:7" ht="13">
      <c r="G935" s="57"/>
    </row>
    <row r="936" spans="7:7" ht="13">
      <c r="G936" s="57"/>
    </row>
    <row r="937" spans="7:7" ht="13">
      <c r="G937" s="57"/>
    </row>
    <row r="938" spans="7:7" ht="13">
      <c r="G938" s="57"/>
    </row>
    <row r="939" spans="7:7" ht="13">
      <c r="G939" s="57"/>
    </row>
    <row r="940" spans="7:7" ht="13">
      <c r="G940" s="57"/>
    </row>
    <row r="941" spans="7:7" ht="13">
      <c r="G941" s="57"/>
    </row>
    <row r="942" spans="7:7" ht="13">
      <c r="G942" s="57"/>
    </row>
    <row r="943" spans="7:7" ht="13">
      <c r="G943" s="57"/>
    </row>
    <row r="944" spans="7:7" ht="13">
      <c r="G944" s="57"/>
    </row>
    <row r="945" spans="7:7" ht="13">
      <c r="G945" s="57"/>
    </row>
    <row r="946" spans="7:7" ht="13">
      <c r="G946" s="57"/>
    </row>
    <row r="947" spans="7:7" ht="13">
      <c r="G947" s="57"/>
    </row>
    <row r="948" spans="7:7" ht="13">
      <c r="G948" s="57"/>
    </row>
    <row r="949" spans="7:7" ht="13">
      <c r="G949" s="57"/>
    </row>
    <row r="950" spans="7:7" ht="13">
      <c r="G950" s="57"/>
    </row>
    <row r="951" spans="7:7" ht="13">
      <c r="G951" s="57"/>
    </row>
    <row r="952" spans="7:7" ht="13">
      <c r="G952" s="57"/>
    </row>
    <row r="953" spans="7:7" ht="13">
      <c r="G953" s="57"/>
    </row>
    <row r="954" spans="7:7" ht="13">
      <c r="G954" s="57"/>
    </row>
    <row r="955" spans="7:7" ht="13">
      <c r="G955" s="57"/>
    </row>
    <row r="956" spans="7:7" ht="13">
      <c r="G956" s="57"/>
    </row>
    <row r="957" spans="7:7" ht="13">
      <c r="G957" s="57"/>
    </row>
    <row r="958" spans="7:7" ht="13">
      <c r="G958" s="57"/>
    </row>
    <row r="959" spans="7:7" ht="13">
      <c r="G959" s="57"/>
    </row>
    <row r="960" spans="7:7" ht="13">
      <c r="G960" s="57"/>
    </row>
    <row r="961" spans="7:7" ht="13">
      <c r="G961" s="57"/>
    </row>
    <row r="962" spans="7:7" ht="13">
      <c r="G962" s="57"/>
    </row>
    <row r="963" spans="7:7" ht="13">
      <c r="G963" s="57"/>
    </row>
    <row r="964" spans="7:7" ht="13">
      <c r="G964" s="57"/>
    </row>
    <row r="965" spans="7:7" ht="13">
      <c r="G965" s="57"/>
    </row>
    <row r="966" spans="7:7" ht="13">
      <c r="G966" s="57"/>
    </row>
    <row r="967" spans="7:7" ht="13">
      <c r="G967" s="57"/>
    </row>
    <row r="968" spans="7:7" ht="13">
      <c r="G968" s="57"/>
    </row>
    <row r="969" spans="7:7" ht="13">
      <c r="G969" s="57"/>
    </row>
    <row r="970" spans="7:7" ht="13">
      <c r="G970" s="57"/>
    </row>
    <row r="971" spans="7:7" ht="13">
      <c r="G971" s="57"/>
    </row>
    <row r="972" spans="7:7" ht="13">
      <c r="G972" s="57"/>
    </row>
    <row r="973" spans="7:7" ht="13">
      <c r="G973" s="57"/>
    </row>
    <row r="974" spans="7:7" ht="13">
      <c r="G974" s="57"/>
    </row>
    <row r="975" spans="7:7" ht="13">
      <c r="G975" s="57"/>
    </row>
    <row r="976" spans="7:7" ht="13">
      <c r="G976" s="57"/>
    </row>
    <row r="977" spans="7:7" ht="13">
      <c r="G977" s="57"/>
    </row>
    <row r="978" spans="7:7" ht="13">
      <c r="G978" s="57"/>
    </row>
    <row r="979" spans="7:7" ht="13">
      <c r="G979" s="57"/>
    </row>
    <row r="980" spans="7:7" ht="13">
      <c r="G980" s="57"/>
    </row>
    <row r="981" spans="7:7" ht="13">
      <c r="G981" s="57"/>
    </row>
    <row r="982" spans="7:7" ht="13">
      <c r="G982" s="57"/>
    </row>
    <row r="983" spans="7:7" ht="13">
      <c r="G983" s="57"/>
    </row>
    <row r="984" spans="7:7" ht="13">
      <c r="G984" s="57"/>
    </row>
    <row r="985" spans="7:7" ht="13">
      <c r="G985" s="57"/>
    </row>
    <row r="986" spans="7:7" ht="13">
      <c r="G986" s="57"/>
    </row>
    <row r="987" spans="7:7" ht="13">
      <c r="G987" s="57"/>
    </row>
    <row r="988" spans="7:7" ht="13">
      <c r="G988" s="57"/>
    </row>
    <row r="989" spans="7:7" ht="13">
      <c r="G989" s="57"/>
    </row>
    <row r="990" spans="7:7" ht="13">
      <c r="G990" s="57"/>
    </row>
    <row r="991" spans="7:7" ht="13">
      <c r="G991" s="57"/>
    </row>
    <row r="992" spans="7:7" ht="13">
      <c r="G992" s="57"/>
    </row>
    <row r="993" spans="7:7" ht="13">
      <c r="G993" s="57"/>
    </row>
    <row r="994" spans="7:7" ht="13">
      <c r="G994" s="57"/>
    </row>
    <row r="995" spans="7:7" ht="13">
      <c r="G995" s="57"/>
    </row>
    <row r="996" spans="7:7" ht="13">
      <c r="G996" s="57"/>
    </row>
    <row r="997" spans="7:7" ht="13">
      <c r="G997" s="57"/>
    </row>
    <row r="998" spans="7:7" ht="13">
      <c r="G998" s="57"/>
    </row>
    <row r="999" spans="7:7" ht="13">
      <c r="G999" s="57"/>
    </row>
    <row r="1000" spans="7:7" ht="13">
      <c r="G1000" s="57"/>
    </row>
  </sheetData>
  <hyperlinks>
    <hyperlink ref="D1" r:id="rId1" xr:uid="{00000000-0004-0000-0400-000000000000}"/>
    <hyperlink ref="D2" r:id="rId2" xr:uid="{00000000-0004-0000-0400-000001000000}"/>
    <hyperlink ref="D3" r:id="rId3" xr:uid="{00000000-0004-0000-0400-000002000000}"/>
    <hyperlink ref="D4" r:id="rId4" xr:uid="{00000000-0004-0000-0400-000003000000}"/>
    <hyperlink ref="D5" r:id="rId5" xr:uid="{00000000-0004-0000-0400-000004000000}"/>
    <hyperlink ref="D6" r:id="rId6" xr:uid="{00000000-0004-0000-0400-000005000000}"/>
    <hyperlink ref="D7" r:id="rId7" xr:uid="{00000000-0004-0000-0400-000006000000}"/>
    <hyperlink ref="D8" r:id="rId8" xr:uid="{00000000-0004-0000-0400-000007000000}"/>
    <hyperlink ref="D9" r:id="rId9" xr:uid="{00000000-0004-0000-0400-000008000000}"/>
    <hyperlink ref="D10" r:id="rId10" xr:uid="{00000000-0004-0000-0400-000009000000}"/>
    <hyperlink ref="D11" r:id="rId11" xr:uid="{00000000-0004-0000-0400-00000A000000}"/>
    <hyperlink ref="D12" r:id="rId12" xr:uid="{00000000-0004-0000-0400-00000B000000}"/>
    <hyperlink ref="D13" r:id="rId13" xr:uid="{00000000-0004-0000-0400-00000C000000}"/>
    <hyperlink ref="D14" r:id="rId14" xr:uid="{00000000-0004-0000-0400-00000D000000}"/>
    <hyperlink ref="D15" r:id="rId15" xr:uid="{00000000-0004-0000-0400-00000E000000}"/>
    <hyperlink ref="D16" r:id="rId16" xr:uid="{00000000-0004-0000-0400-00000F000000}"/>
    <hyperlink ref="D17" r:id="rId17" xr:uid="{00000000-0004-0000-0400-000010000000}"/>
    <hyperlink ref="D18" r:id="rId18" xr:uid="{00000000-0004-0000-0400-000011000000}"/>
    <hyperlink ref="D19" r:id="rId19" xr:uid="{00000000-0004-0000-0400-000012000000}"/>
    <hyperlink ref="D20" r:id="rId20" xr:uid="{00000000-0004-0000-0400-000013000000}"/>
    <hyperlink ref="D21" r:id="rId21" xr:uid="{00000000-0004-0000-0400-000014000000}"/>
    <hyperlink ref="D22" r:id="rId22" xr:uid="{00000000-0004-0000-0400-000015000000}"/>
    <hyperlink ref="D23" r:id="rId23" xr:uid="{00000000-0004-0000-0400-000016000000}"/>
    <hyperlink ref="D24" r:id="rId24" xr:uid="{00000000-0004-0000-0400-000017000000}"/>
    <hyperlink ref="D25" r:id="rId25" xr:uid="{00000000-0004-0000-0400-000018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28"/>
  <sheetViews>
    <sheetView workbookViewId="0"/>
  </sheetViews>
  <sheetFormatPr baseColWidth="10" defaultColWidth="12.6640625" defaultRowHeight="15.75" customHeight="1"/>
  <cols>
    <col min="1" max="1" width="25" customWidth="1"/>
    <col min="5" max="5" width="27.6640625" customWidth="1"/>
  </cols>
  <sheetData>
    <row r="1" spans="1:9" ht="15.75" customHeight="1">
      <c r="A1" s="13" t="s">
        <v>499</v>
      </c>
    </row>
    <row r="2" spans="1:9" ht="15.75" customHeight="1">
      <c r="A2" s="59" t="s">
        <v>500</v>
      </c>
    </row>
    <row r="4" spans="1:9" ht="15.75" customHeight="1">
      <c r="A4" s="60" t="s">
        <v>501</v>
      </c>
    </row>
    <row r="6" spans="1:9" ht="15.75" customHeight="1">
      <c r="A6" s="60" t="s">
        <v>502</v>
      </c>
    </row>
    <row r="8" spans="1:9" ht="15.75" customHeight="1">
      <c r="A8" s="61">
        <v>3238.14</v>
      </c>
    </row>
    <row r="9" spans="1:9" ht="15.75" customHeight="1">
      <c r="C9" s="13">
        <v>1</v>
      </c>
      <c r="E9" s="13" t="s">
        <v>130</v>
      </c>
      <c r="G9" s="13" t="s">
        <v>130</v>
      </c>
      <c r="I9" s="13" t="s">
        <v>503</v>
      </c>
    </row>
    <row r="10" spans="1:9" ht="15.75" customHeight="1">
      <c r="C10" s="13">
        <v>2</v>
      </c>
      <c r="E10" s="13" t="s">
        <v>137</v>
      </c>
      <c r="G10" s="13" t="s">
        <v>137</v>
      </c>
    </row>
    <row r="11" spans="1:9" ht="15.75" customHeight="1">
      <c r="C11" s="13">
        <v>3</v>
      </c>
      <c r="E11" s="13" t="s">
        <v>504</v>
      </c>
      <c r="G11" s="13" t="s">
        <v>504</v>
      </c>
    </row>
    <row r="12" spans="1:9" ht="15.75" customHeight="1">
      <c r="C12" s="13">
        <v>4</v>
      </c>
      <c r="E12" s="13" t="s">
        <v>505</v>
      </c>
      <c r="G12" s="13" t="s">
        <v>505</v>
      </c>
    </row>
    <row r="13" spans="1:9" ht="15.75" customHeight="1">
      <c r="C13" s="13">
        <v>5</v>
      </c>
      <c r="E13" s="13" t="s">
        <v>140</v>
      </c>
      <c r="G13" s="13" t="s">
        <v>140</v>
      </c>
    </row>
    <row r="14" spans="1:9" ht="15.75" customHeight="1">
      <c r="C14" s="13">
        <v>6</v>
      </c>
      <c r="E14" s="13" t="s">
        <v>222</v>
      </c>
      <c r="G14" s="13" t="s">
        <v>222</v>
      </c>
    </row>
    <row r="15" spans="1:9" ht="15.75" customHeight="1">
      <c r="C15" s="13">
        <v>7</v>
      </c>
      <c r="E15" s="13" t="s">
        <v>233</v>
      </c>
      <c r="G15" s="13" t="s">
        <v>233</v>
      </c>
    </row>
    <row r="16" spans="1:9" ht="15.75" customHeight="1">
      <c r="C16" s="13">
        <v>8</v>
      </c>
      <c r="D16" s="62" t="s">
        <v>506</v>
      </c>
      <c r="E16" s="13" t="s">
        <v>507</v>
      </c>
      <c r="F16" s="13" t="s">
        <v>508</v>
      </c>
      <c r="G16" t="str">
        <f t="shared" ref="G16:G28" si="0">CONCATENATE(D16,E16,F16)</f>
        <v>SFVHHV43MQ6L4</v>
      </c>
    </row>
    <row r="17" spans="3:7" ht="15.75" customHeight="1">
      <c r="C17" s="13">
        <v>9</v>
      </c>
      <c r="D17" s="62" t="s">
        <v>506</v>
      </c>
      <c r="E17" s="13" t="s">
        <v>509</v>
      </c>
      <c r="F17" s="13" t="s">
        <v>508</v>
      </c>
      <c r="G17" t="str">
        <f t="shared" si="0"/>
        <v>SFVHHVD81Q6L4</v>
      </c>
    </row>
    <row r="18" spans="3:7" ht="15.75" customHeight="1">
      <c r="C18" s="13">
        <v>10</v>
      </c>
      <c r="D18" s="62" t="s">
        <v>506</v>
      </c>
      <c r="E18" s="13" t="s">
        <v>510</v>
      </c>
      <c r="F18" s="13" t="s">
        <v>508</v>
      </c>
      <c r="G18" t="str">
        <f t="shared" si="0"/>
        <v>SFVHHV65XQ6L4</v>
      </c>
    </row>
    <row r="19" spans="3:7" ht="15.75" customHeight="1">
      <c r="C19" s="13">
        <v>11</v>
      </c>
      <c r="D19" s="62" t="s">
        <v>506</v>
      </c>
      <c r="E19" s="13" t="s">
        <v>511</v>
      </c>
      <c r="F19" s="13" t="s">
        <v>508</v>
      </c>
      <c r="G19" t="str">
        <f t="shared" si="0"/>
        <v>SFVHHV5UJQ6L4</v>
      </c>
    </row>
    <row r="20" spans="3:7" ht="15.75" customHeight="1">
      <c r="C20" s="13">
        <v>12</v>
      </c>
      <c r="D20" s="62" t="s">
        <v>506</v>
      </c>
      <c r="E20" s="13" t="s">
        <v>512</v>
      </c>
      <c r="F20" s="13" t="s">
        <v>508</v>
      </c>
      <c r="G20" t="str">
        <f t="shared" si="0"/>
        <v>SFVHHV5SEQ6L4</v>
      </c>
    </row>
    <row r="21" spans="3:7" ht="15.75" customHeight="1">
      <c r="C21" s="13">
        <v>13</v>
      </c>
      <c r="D21" s="62" t="s">
        <v>506</v>
      </c>
      <c r="E21" s="13" t="s">
        <v>513</v>
      </c>
      <c r="F21" s="13" t="s">
        <v>508</v>
      </c>
      <c r="G21" t="str">
        <f t="shared" si="0"/>
        <v>SFVHHV8EVQ6L4</v>
      </c>
    </row>
    <row r="22" spans="3:7" ht="15.75" customHeight="1">
      <c r="C22" s="13">
        <v>14</v>
      </c>
      <c r="D22" s="62" t="s">
        <v>506</v>
      </c>
      <c r="E22" s="13" t="s">
        <v>514</v>
      </c>
      <c r="F22" s="13" t="s">
        <v>508</v>
      </c>
      <c r="G22" t="str">
        <f t="shared" si="0"/>
        <v>SFVHHV5UDQ6L4</v>
      </c>
    </row>
    <row r="23" spans="3:7" ht="15.75" customHeight="1">
      <c r="C23" s="13">
        <v>15</v>
      </c>
      <c r="D23" s="62" t="s">
        <v>506</v>
      </c>
      <c r="E23" s="13" t="s">
        <v>515</v>
      </c>
      <c r="F23" s="13" t="s">
        <v>508</v>
      </c>
      <c r="G23" t="str">
        <f t="shared" si="0"/>
        <v>SFVHHVD89Q6L4</v>
      </c>
    </row>
    <row r="24" spans="3:7" ht="15.75" customHeight="1">
      <c r="C24" s="13">
        <v>16</v>
      </c>
      <c r="D24" s="62" t="s">
        <v>506</v>
      </c>
      <c r="E24" s="13" t="s">
        <v>516</v>
      </c>
      <c r="F24" s="13" t="s">
        <v>508</v>
      </c>
      <c r="G24" t="str">
        <f t="shared" si="0"/>
        <v>SFVHHV9KKQ6L4</v>
      </c>
    </row>
    <row r="25" spans="3:7" ht="15.75" customHeight="1">
      <c r="C25" s="13">
        <v>17</v>
      </c>
      <c r="D25" s="62" t="s">
        <v>506</v>
      </c>
      <c r="E25" s="13" t="s">
        <v>517</v>
      </c>
      <c r="F25" s="13" t="s">
        <v>508</v>
      </c>
      <c r="G25" t="str">
        <f t="shared" si="0"/>
        <v>SFVHHV5Q8Q6L4</v>
      </c>
    </row>
    <row r="26" spans="3:7" ht="15.75" customHeight="1">
      <c r="C26" s="13">
        <v>18</v>
      </c>
      <c r="D26" s="62" t="s">
        <v>506</v>
      </c>
      <c r="E26" s="13" t="s">
        <v>518</v>
      </c>
      <c r="F26" s="13" t="s">
        <v>508</v>
      </c>
      <c r="G26" t="str">
        <f t="shared" si="0"/>
        <v>SFVHHV5UTQ6L4</v>
      </c>
    </row>
    <row r="27" spans="3:7" ht="15.75" customHeight="1">
      <c r="C27" s="13">
        <v>19</v>
      </c>
      <c r="D27" s="62" t="s">
        <v>506</v>
      </c>
      <c r="E27" s="13" t="s">
        <v>519</v>
      </c>
      <c r="F27" s="13" t="s">
        <v>508</v>
      </c>
      <c r="G27" t="str">
        <f t="shared" si="0"/>
        <v>SFVHHV66LQ6L4</v>
      </c>
    </row>
    <row r="28" spans="3:7" ht="15.75" customHeight="1">
      <c r="C28" s="13">
        <v>20</v>
      </c>
      <c r="D28" s="62" t="s">
        <v>506</v>
      </c>
      <c r="E28" s="13" t="s">
        <v>520</v>
      </c>
      <c r="F28" s="13" t="s">
        <v>508</v>
      </c>
      <c r="G28" t="str">
        <f t="shared" si="0"/>
        <v>SFVHHV6AYQ6L4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20"/>
  <sheetViews>
    <sheetView workbookViewId="0"/>
  </sheetViews>
  <sheetFormatPr baseColWidth="10" defaultColWidth="12.6640625" defaultRowHeight="15.75" customHeight="1"/>
  <sheetData>
    <row r="1" spans="1:26" ht="15.75" customHeight="1">
      <c r="A1" s="14" t="s">
        <v>234</v>
      </c>
      <c r="B1" s="14" t="s">
        <v>133</v>
      </c>
      <c r="C1" s="15" t="s">
        <v>228</v>
      </c>
      <c r="D1" s="14"/>
      <c r="E1" s="14"/>
      <c r="F1" s="14"/>
      <c r="G1" s="17">
        <v>44754</v>
      </c>
      <c r="H1" s="14"/>
      <c r="I1" s="14"/>
      <c r="J1" s="14" t="s">
        <v>136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>
      <c r="A2" s="14" t="s">
        <v>229</v>
      </c>
      <c r="B2" s="14" t="s">
        <v>133</v>
      </c>
      <c r="C2" s="63" t="s">
        <v>130</v>
      </c>
      <c r="D2" s="14"/>
      <c r="E2" s="14"/>
      <c r="F2" s="14"/>
      <c r="G2" s="17">
        <v>44754</v>
      </c>
      <c r="H2" s="14"/>
      <c r="I2" s="14"/>
      <c r="J2" s="14" t="s">
        <v>136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4" t="s">
        <v>131</v>
      </c>
      <c r="B3" s="14" t="s">
        <v>133</v>
      </c>
      <c r="C3" s="15" t="s">
        <v>137</v>
      </c>
      <c r="D3" s="14"/>
      <c r="E3" s="14"/>
      <c r="F3" s="14"/>
      <c r="G3" s="17">
        <v>44754</v>
      </c>
      <c r="H3" s="14"/>
      <c r="I3" s="14"/>
      <c r="J3" s="14" t="s">
        <v>136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>
      <c r="A4" s="14" t="s">
        <v>138</v>
      </c>
      <c r="B4" s="14" t="s">
        <v>133</v>
      </c>
      <c r="C4" s="15" t="s">
        <v>504</v>
      </c>
      <c r="D4" s="14"/>
      <c r="E4" s="14"/>
      <c r="F4" s="14"/>
      <c r="G4" s="17">
        <v>44754</v>
      </c>
      <c r="H4" s="14"/>
      <c r="I4" s="14"/>
      <c r="J4" s="14" t="s">
        <v>136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>
      <c r="A5" s="14" t="s">
        <v>160</v>
      </c>
      <c r="B5" s="14" t="s">
        <v>133</v>
      </c>
      <c r="C5" s="63" t="s">
        <v>153</v>
      </c>
      <c r="D5" s="14"/>
      <c r="E5" s="14"/>
      <c r="F5" s="14"/>
      <c r="G5" s="17">
        <v>44754</v>
      </c>
      <c r="H5" s="14"/>
      <c r="I5" s="14"/>
      <c r="J5" s="14" t="s">
        <v>136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>
      <c r="A6" s="14" t="s">
        <v>154</v>
      </c>
      <c r="B6" s="14" t="s">
        <v>133</v>
      </c>
      <c r="C6" s="15" t="s">
        <v>140</v>
      </c>
      <c r="D6" s="14"/>
      <c r="E6" s="14"/>
      <c r="F6" s="14"/>
      <c r="G6" s="17">
        <v>44754</v>
      </c>
      <c r="H6" s="14"/>
      <c r="I6" s="14"/>
      <c r="J6" s="14" t="s">
        <v>136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>
      <c r="A7" s="14" t="s">
        <v>223</v>
      </c>
      <c r="B7" s="14" t="s">
        <v>133</v>
      </c>
      <c r="C7" s="63" t="s">
        <v>162</v>
      </c>
      <c r="D7" s="14"/>
      <c r="E7" s="14"/>
      <c r="F7" s="14"/>
      <c r="G7" s="17">
        <v>44754</v>
      </c>
      <c r="H7" s="14"/>
      <c r="I7" s="14"/>
      <c r="J7" s="14" t="s">
        <v>136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>
      <c r="A8" s="14" t="s">
        <v>163</v>
      </c>
      <c r="B8" s="14" t="s">
        <v>133</v>
      </c>
      <c r="C8" s="63" t="s">
        <v>233</v>
      </c>
      <c r="D8" s="14"/>
      <c r="E8" s="14"/>
      <c r="F8" s="14"/>
      <c r="G8" s="17">
        <v>44754</v>
      </c>
      <c r="H8" s="14"/>
      <c r="I8" s="14"/>
      <c r="J8" s="14" t="s">
        <v>136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>
      <c r="A9" s="14" t="s">
        <v>157</v>
      </c>
      <c r="B9" s="14" t="s">
        <v>133</v>
      </c>
      <c r="C9" s="15" t="s">
        <v>237</v>
      </c>
      <c r="D9" s="14"/>
      <c r="E9" s="14"/>
      <c r="F9" s="14"/>
      <c r="G9" s="17">
        <v>44754</v>
      </c>
      <c r="H9" s="14"/>
      <c r="I9" s="14"/>
      <c r="J9" s="14" t="s">
        <v>136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>
      <c r="A10" s="14" t="s">
        <v>166</v>
      </c>
      <c r="B10" s="14" t="s">
        <v>133</v>
      </c>
      <c r="C10" s="15" t="s">
        <v>218</v>
      </c>
      <c r="D10" s="14"/>
      <c r="E10" s="14"/>
      <c r="F10" s="14"/>
      <c r="G10" s="17">
        <v>44754</v>
      </c>
      <c r="H10" s="14"/>
      <c r="I10" s="14"/>
      <c r="J10" s="14" t="s">
        <v>136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>
      <c r="A11" s="14" t="s">
        <v>521</v>
      </c>
      <c r="B11" s="14" t="s">
        <v>133</v>
      </c>
      <c r="C11" s="15" t="s">
        <v>165</v>
      </c>
      <c r="D11" s="14"/>
      <c r="E11" s="14"/>
      <c r="F11" s="14"/>
      <c r="G11" s="17">
        <v>44754</v>
      </c>
      <c r="H11" s="14"/>
      <c r="I11" s="14"/>
      <c r="J11" s="14" t="s">
        <v>136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>
      <c r="A12" s="14" t="s">
        <v>141</v>
      </c>
      <c r="B12" s="14" t="s">
        <v>133</v>
      </c>
      <c r="C12" s="63" t="s">
        <v>222</v>
      </c>
      <c r="D12" s="14"/>
      <c r="E12" s="14"/>
      <c r="F12" s="14"/>
      <c r="G12" s="17">
        <v>44754</v>
      </c>
      <c r="H12" s="14"/>
      <c r="I12" s="14"/>
      <c r="J12" s="14" t="s">
        <v>136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>
      <c r="A13" s="14" t="s">
        <v>219</v>
      </c>
      <c r="B13" s="14" t="s">
        <v>133</v>
      </c>
      <c r="C13" s="15" t="s">
        <v>225</v>
      </c>
      <c r="D13" s="14"/>
      <c r="E13" s="14"/>
      <c r="F13" s="14"/>
      <c r="G13" s="17">
        <v>44754</v>
      </c>
      <c r="H13" s="14"/>
      <c r="I13" s="14"/>
      <c r="J13" s="14" t="s">
        <v>136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>
      <c r="A14" s="14" t="s">
        <v>147</v>
      </c>
      <c r="B14" s="14" t="s">
        <v>133</v>
      </c>
      <c r="C14" s="15" t="s">
        <v>156</v>
      </c>
      <c r="D14" s="14"/>
      <c r="E14" s="14"/>
      <c r="F14" s="14"/>
      <c r="G14" s="17">
        <v>44754</v>
      </c>
      <c r="H14" s="14"/>
      <c r="I14" s="14"/>
      <c r="J14" s="14" t="s">
        <v>136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>
      <c r="A15" s="14" t="s">
        <v>150</v>
      </c>
      <c r="B15" s="14" t="s">
        <v>133</v>
      </c>
      <c r="C15" s="15" t="s">
        <v>143</v>
      </c>
      <c r="D15" s="14"/>
      <c r="E15" s="14"/>
      <c r="F15" s="14"/>
      <c r="G15" s="17">
        <v>44754</v>
      </c>
      <c r="H15" s="14"/>
      <c r="I15" s="14"/>
      <c r="J15" s="14" t="s">
        <v>136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>
      <c r="A16" s="14" t="s">
        <v>522</v>
      </c>
      <c r="B16" s="14" t="s">
        <v>133</v>
      </c>
      <c r="C16" s="15" t="s">
        <v>505</v>
      </c>
      <c r="D16" s="14"/>
      <c r="E16" s="14"/>
      <c r="F16" s="14"/>
      <c r="G16" s="17">
        <v>44754</v>
      </c>
      <c r="H16" s="14"/>
      <c r="I16" s="14"/>
      <c r="J16" s="14" t="s">
        <v>136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>
      <c r="A17" s="14" t="s">
        <v>226</v>
      </c>
      <c r="B17" s="14" t="s">
        <v>133</v>
      </c>
      <c r="C17" s="15" t="s">
        <v>159</v>
      </c>
      <c r="D17" s="14"/>
      <c r="E17" s="14"/>
      <c r="F17" s="14"/>
      <c r="G17" s="17">
        <v>44754</v>
      </c>
      <c r="H17" s="14"/>
      <c r="I17" s="14"/>
      <c r="J17" s="14" t="s">
        <v>136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>
      <c r="A18" s="14" t="s">
        <v>523</v>
      </c>
      <c r="B18" s="14" t="s">
        <v>133</v>
      </c>
      <c r="C18" s="15" t="s">
        <v>524</v>
      </c>
      <c r="D18" s="14"/>
      <c r="E18" s="14"/>
      <c r="F18" s="14"/>
      <c r="G18" s="17">
        <v>44754</v>
      </c>
      <c r="H18" s="14"/>
      <c r="I18" s="14"/>
      <c r="J18" s="14" t="s">
        <v>136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>
      <c r="A19" s="14" t="s">
        <v>238</v>
      </c>
      <c r="B19" s="14" t="s">
        <v>133</v>
      </c>
      <c r="C19" s="15" t="s">
        <v>146</v>
      </c>
      <c r="D19" s="14"/>
      <c r="E19" s="14"/>
      <c r="F19" s="14"/>
      <c r="G19" s="17">
        <v>44754</v>
      </c>
      <c r="H19" s="14"/>
      <c r="I19" s="14"/>
      <c r="J19" s="14" t="s">
        <v>136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>
      <c r="A20" s="14" t="s">
        <v>144</v>
      </c>
      <c r="B20" s="14" t="s">
        <v>133</v>
      </c>
      <c r="C20" s="15" t="s">
        <v>149</v>
      </c>
      <c r="D20" s="14"/>
      <c r="E20" s="14"/>
      <c r="F20" s="14"/>
      <c r="G20" s="17">
        <v>44754</v>
      </c>
      <c r="H20" s="14"/>
      <c r="I20" s="14"/>
      <c r="J20" s="14" t="s">
        <v>136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70"/>
  <sheetViews>
    <sheetView workbookViewId="0"/>
  </sheetViews>
  <sheetFormatPr baseColWidth="10" defaultColWidth="12.6640625" defaultRowHeight="15.75" customHeight="1"/>
  <sheetData>
    <row r="1" spans="1:30" ht="1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30" ht="13">
      <c r="A2" s="64" t="s">
        <v>426</v>
      </c>
      <c r="B2" s="65" t="s">
        <v>525</v>
      </c>
      <c r="C2" s="64"/>
      <c r="D2" s="64" t="s">
        <v>526</v>
      </c>
      <c r="E2" s="64"/>
      <c r="F2" s="64"/>
      <c r="G2" s="64" t="s">
        <v>527</v>
      </c>
      <c r="H2" s="64"/>
      <c r="I2" s="64"/>
      <c r="J2" s="66" t="s">
        <v>528</v>
      </c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</row>
    <row r="3" spans="1:30" ht="13">
      <c r="A3" s="5" t="s">
        <v>426</v>
      </c>
      <c r="B3" s="6">
        <v>17297061950</v>
      </c>
      <c r="C3" s="5"/>
      <c r="D3" s="5" t="s">
        <v>529</v>
      </c>
      <c r="E3" s="5"/>
      <c r="F3" s="5"/>
      <c r="G3" s="5" t="s">
        <v>18</v>
      </c>
      <c r="H3" s="5" t="s">
        <v>19</v>
      </c>
      <c r="I3" s="5" t="s">
        <v>251</v>
      </c>
      <c r="J3" s="7" t="s">
        <v>530</v>
      </c>
      <c r="K3" s="5"/>
      <c r="L3" s="67">
        <v>38978</v>
      </c>
      <c r="M3" s="8">
        <v>43878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3">
      <c r="A4" s="5" t="s">
        <v>426</v>
      </c>
      <c r="B4" s="6">
        <v>2662200974</v>
      </c>
      <c r="C4" s="5"/>
      <c r="D4" s="5" t="s">
        <v>531</v>
      </c>
      <c r="E4" s="5"/>
      <c r="F4" s="5"/>
      <c r="G4" s="5" t="s">
        <v>18</v>
      </c>
      <c r="H4" s="5" t="s">
        <v>19</v>
      </c>
      <c r="I4" s="5" t="s">
        <v>251</v>
      </c>
      <c r="J4" s="7" t="s">
        <v>532</v>
      </c>
      <c r="K4" s="8">
        <v>42947</v>
      </c>
      <c r="L4" s="67">
        <v>38978</v>
      </c>
      <c r="M4" s="8">
        <v>43874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3">
      <c r="A5" s="5" t="s">
        <v>426</v>
      </c>
      <c r="B5" s="6">
        <v>6953571902</v>
      </c>
      <c r="C5" s="5"/>
      <c r="D5" s="5" t="s">
        <v>533</v>
      </c>
      <c r="E5" s="5"/>
      <c r="F5" s="5"/>
      <c r="G5" s="5" t="s">
        <v>18</v>
      </c>
      <c r="H5" s="5" t="s">
        <v>19</v>
      </c>
      <c r="I5" s="5" t="s">
        <v>251</v>
      </c>
      <c r="J5" s="7" t="s">
        <v>534</v>
      </c>
      <c r="K5" s="8">
        <v>42947</v>
      </c>
      <c r="L5" s="67">
        <v>38978</v>
      </c>
      <c r="M5" s="8">
        <v>43874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3">
      <c r="A6" s="5" t="s">
        <v>426</v>
      </c>
      <c r="B6" s="6">
        <v>39004419134</v>
      </c>
      <c r="C6" s="5"/>
      <c r="D6" s="5" t="s">
        <v>535</v>
      </c>
      <c r="E6" s="5"/>
      <c r="F6" s="5"/>
      <c r="G6" s="5" t="s">
        <v>18</v>
      </c>
      <c r="H6" s="5" t="s">
        <v>19</v>
      </c>
      <c r="I6" s="5" t="s">
        <v>251</v>
      </c>
      <c r="J6" s="7" t="s">
        <v>536</v>
      </c>
      <c r="K6" s="5"/>
      <c r="L6" s="67">
        <v>38978</v>
      </c>
      <c r="M6" s="8">
        <v>43874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3">
      <c r="A7" s="5" t="s">
        <v>426</v>
      </c>
      <c r="B7" s="6">
        <v>4799743022</v>
      </c>
      <c r="C7" s="5"/>
      <c r="D7" s="5" t="s">
        <v>464</v>
      </c>
      <c r="E7" s="5"/>
      <c r="F7" s="5"/>
      <c r="G7" s="5" t="s">
        <v>18</v>
      </c>
      <c r="H7" s="5" t="s">
        <v>19</v>
      </c>
      <c r="I7" s="68" t="s">
        <v>251</v>
      </c>
      <c r="J7" s="7" t="s">
        <v>465</v>
      </c>
      <c r="K7" s="5"/>
      <c r="L7" s="67">
        <v>38978</v>
      </c>
      <c r="M7" s="8">
        <v>43874</v>
      </c>
      <c r="N7" s="5"/>
      <c r="O7" s="5" t="s">
        <v>466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">
      <c r="A8" s="5" t="s">
        <v>426</v>
      </c>
      <c r="B8" s="6">
        <v>11330090030</v>
      </c>
      <c r="C8" s="5"/>
      <c r="D8" s="5" t="s">
        <v>467</v>
      </c>
      <c r="E8" s="5"/>
      <c r="F8" s="5"/>
      <c r="G8" s="5" t="s">
        <v>18</v>
      </c>
      <c r="H8" s="5" t="s">
        <v>19</v>
      </c>
      <c r="I8" s="68" t="s">
        <v>251</v>
      </c>
      <c r="J8" s="7" t="s">
        <v>468</v>
      </c>
      <c r="K8" s="5"/>
      <c r="L8" s="67">
        <v>38978</v>
      </c>
      <c r="M8" s="8">
        <v>43874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3">
      <c r="A9" s="5" t="s">
        <v>426</v>
      </c>
      <c r="B9" s="6">
        <v>13201825358</v>
      </c>
      <c r="C9" s="5"/>
      <c r="D9" s="5" t="s">
        <v>491</v>
      </c>
      <c r="E9" s="5"/>
      <c r="F9" s="5"/>
      <c r="G9" s="5" t="s">
        <v>18</v>
      </c>
      <c r="H9" s="5" t="s">
        <v>74</v>
      </c>
      <c r="I9" s="68" t="s">
        <v>251</v>
      </c>
      <c r="J9" s="9" t="s">
        <v>492</v>
      </c>
      <c r="K9" s="8">
        <v>43320</v>
      </c>
      <c r="L9" s="67">
        <v>38978</v>
      </c>
      <c r="M9" s="69">
        <v>43874</v>
      </c>
      <c r="N9" s="10"/>
      <c r="O9" s="10" t="s">
        <v>493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13">
      <c r="A10" s="5" t="s">
        <v>426</v>
      </c>
      <c r="B10" s="6">
        <v>13506872366</v>
      </c>
      <c r="C10" s="5"/>
      <c r="D10" s="5" t="s">
        <v>470</v>
      </c>
      <c r="E10" s="5"/>
      <c r="F10" s="5"/>
      <c r="G10" s="5" t="s">
        <v>18</v>
      </c>
      <c r="H10" s="5" t="s">
        <v>19</v>
      </c>
      <c r="I10" s="68" t="s">
        <v>251</v>
      </c>
      <c r="J10" s="7" t="s">
        <v>471</v>
      </c>
      <c r="K10" s="5"/>
      <c r="L10" s="67">
        <v>38978</v>
      </c>
      <c r="M10" s="8">
        <v>43874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3">
      <c r="A11" s="5" t="s">
        <v>426</v>
      </c>
      <c r="B11" s="6">
        <v>15378607694</v>
      </c>
      <c r="C11" s="5"/>
      <c r="D11" s="5" t="s">
        <v>486</v>
      </c>
      <c r="E11" s="5"/>
      <c r="F11" s="5"/>
      <c r="G11" s="5" t="s">
        <v>18</v>
      </c>
      <c r="H11" s="5" t="s">
        <v>74</v>
      </c>
      <c r="I11" s="68" t="s">
        <v>251</v>
      </c>
      <c r="J11" s="7" t="s">
        <v>487</v>
      </c>
      <c r="K11" s="8">
        <v>43320</v>
      </c>
      <c r="L11" s="67">
        <v>38978</v>
      </c>
      <c r="M11" s="8">
        <v>43874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3">
      <c r="A12" s="5" t="s">
        <v>426</v>
      </c>
      <c r="B12" s="6">
        <v>15539768894</v>
      </c>
      <c r="C12" s="5"/>
      <c r="D12" s="5" t="s">
        <v>479</v>
      </c>
      <c r="E12" s="5"/>
      <c r="F12" s="5"/>
      <c r="G12" s="5" t="s">
        <v>18</v>
      </c>
      <c r="H12" s="5" t="s">
        <v>19</v>
      </c>
      <c r="I12" s="68" t="s">
        <v>251</v>
      </c>
      <c r="J12" s="7" t="s">
        <v>480</v>
      </c>
      <c r="K12" s="8">
        <v>42947</v>
      </c>
      <c r="L12" s="67">
        <v>38978</v>
      </c>
      <c r="M12" s="8">
        <v>43874</v>
      </c>
      <c r="N12" s="5"/>
      <c r="O12" s="5" t="s">
        <v>481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3">
      <c r="A13" s="5" t="s">
        <v>426</v>
      </c>
      <c r="B13" s="6">
        <v>15842099774</v>
      </c>
      <c r="C13" s="5"/>
      <c r="D13" s="5" t="s">
        <v>472</v>
      </c>
      <c r="E13" s="5"/>
      <c r="F13" s="5"/>
      <c r="G13" s="5" t="s">
        <v>18</v>
      </c>
      <c r="H13" s="5" t="s">
        <v>19</v>
      </c>
      <c r="I13" s="68" t="s">
        <v>251</v>
      </c>
      <c r="J13" s="7" t="s">
        <v>473</v>
      </c>
      <c r="K13" s="8">
        <v>42947</v>
      </c>
      <c r="L13" s="67">
        <v>38978</v>
      </c>
      <c r="M13" s="8">
        <v>43874</v>
      </c>
      <c r="N13" s="5"/>
      <c r="O13" s="5" t="s">
        <v>474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3">
      <c r="A14" s="5" t="s">
        <v>426</v>
      </c>
      <c r="B14" s="6">
        <v>19732172366</v>
      </c>
      <c r="C14" s="5"/>
      <c r="D14" s="5" t="s">
        <v>488</v>
      </c>
      <c r="E14" s="5"/>
      <c r="F14" s="5"/>
      <c r="G14" s="5" t="s">
        <v>18</v>
      </c>
      <c r="H14" s="5" t="s">
        <v>74</v>
      </c>
      <c r="I14" s="68" t="s">
        <v>251</v>
      </c>
      <c r="J14" s="7" t="s">
        <v>489</v>
      </c>
      <c r="K14" s="8">
        <v>43320</v>
      </c>
      <c r="L14" s="67">
        <v>38978</v>
      </c>
      <c r="M14" s="8">
        <v>43874</v>
      </c>
      <c r="N14" s="5"/>
      <c r="O14" s="5" t="s">
        <v>490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3">
      <c r="A15" s="5" t="s">
        <v>426</v>
      </c>
      <c r="B15" s="6">
        <v>24246898238</v>
      </c>
      <c r="C15" s="5"/>
      <c r="D15" s="5" t="s">
        <v>475</v>
      </c>
      <c r="E15" s="5"/>
      <c r="F15" s="5"/>
      <c r="G15" s="5" t="s">
        <v>18</v>
      </c>
      <c r="H15" s="5" t="s">
        <v>19</v>
      </c>
      <c r="I15" s="68" t="s">
        <v>251</v>
      </c>
      <c r="J15" s="7" t="s">
        <v>476</v>
      </c>
      <c r="K15" s="8">
        <v>42947</v>
      </c>
      <c r="L15" s="67">
        <v>38978</v>
      </c>
      <c r="M15" s="8">
        <v>43874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13">
      <c r="A16" s="5" t="s">
        <v>426</v>
      </c>
      <c r="B16" s="6">
        <v>28439301710</v>
      </c>
      <c r="C16" s="5"/>
      <c r="D16" s="5" t="s">
        <v>494</v>
      </c>
      <c r="E16" s="5"/>
      <c r="F16" s="5"/>
      <c r="G16" s="5" t="s">
        <v>18</v>
      </c>
      <c r="H16" s="5" t="s">
        <v>74</v>
      </c>
      <c r="I16" s="68" t="s">
        <v>251</v>
      </c>
      <c r="J16" s="9" t="s">
        <v>495</v>
      </c>
      <c r="K16" s="8">
        <v>43320</v>
      </c>
      <c r="L16" s="67">
        <v>38978</v>
      </c>
      <c r="M16" s="69">
        <v>43874</v>
      </c>
      <c r="N16" s="10"/>
      <c r="O16" s="10" t="s">
        <v>496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ht="13">
      <c r="A17" s="5" t="s">
        <v>426</v>
      </c>
      <c r="B17" s="6">
        <v>17555390030</v>
      </c>
      <c r="C17" s="5"/>
      <c r="D17" s="5" t="s">
        <v>537</v>
      </c>
      <c r="E17" s="5"/>
      <c r="F17" s="5"/>
      <c r="G17" s="5" t="s">
        <v>18</v>
      </c>
      <c r="H17" s="5" t="s">
        <v>74</v>
      </c>
      <c r="I17" s="5" t="s">
        <v>20</v>
      </c>
      <c r="J17" s="9" t="s">
        <v>538</v>
      </c>
      <c r="K17" s="8">
        <v>43320</v>
      </c>
      <c r="L17" s="67">
        <v>38978</v>
      </c>
      <c r="M17" s="69">
        <v>43867</v>
      </c>
      <c r="N17" s="10"/>
      <c r="O17" s="10" t="s">
        <v>539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3">
      <c r="A18" s="5" t="s">
        <v>426</v>
      </c>
      <c r="B18" s="6">
        <v>32792866382</v>
      </c>
      <c r="C18" s="5"/>
      <c r="D18" s="5" t="s">
        <v>540</v>
      </c>
      <c r="E18" s="5"/>
      <c r="F18" s="5"/>
      <c r="G18" s="5" t="s">
        <v>18</v>
      </c>
      <c r="H18" s="5" t="s">
        <v>74</v>
      </c>
      <c r="I18" s="5" t="s">
        <v>20</v>
      </c>
      <c r="J18" s="9" t="s">
        <v>541</v>
      </c>
      <c r="K18" s="8">
        <v>43320</v>
      </c>
      <c r="L18" s="67">
        <v>38978</v>
      </c>
      <c r="M18" s="69">
        <v>43867</v>
      </c>
      <c r="N18" s="10"/>
      <c r="O18" s="10" t="s">
        <v>542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3">
      <c r="A19" s="5" t="s">
        <v>426</v>
      </c>
      <c r="B19" s="6">
        <v>4716323390</v>
      </c>
      <c r="C19" s="5"/>
      <c r="D19" s="5" t="s">
        <v>543</v>
      </c>
      <c r="E19" s="5"/>
      <c r="F19" s="5"/>
      <c r="G19" s="5" t="s">
        <v>18</v>
      </c>
      <c r="H19" s="5" t="s">
        <v>19</v>
      </c>
      <c r="I19" s="5" t="s">
        <v>20</v>
      </c>
      <c r="J19" s="11" t="s">
        <v>544</v>
      </c>
      <c r="K19" s="8">
        <v>42947</v>
      </c>
      <c r="L19" s="67">
        <v>38978</v>
      </c>
      <c r="M19" s="8">
        <v>43083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13">
      <c r="A20" s="5" t="s">
        <v>426</v>
      </c>
      <c r="B20" s="6">
        <v>28237665854</v>
      </c>
      <c r="C20" s="5"/>
      <c r="D20" s="5" t="s">
        <v>545</v>
      </c>
      <c r="E20" s="5"/>
      <c r="F20" s="5"/>
      <c r="G20" s="5" t="s">
        <v>18</v>
      </c>
      <c r="H20" s="5" t="s">
        <v>19</v>
      </c>
      <c r="I20" s="5" t="s">
        <v>20</v>
      </c>
      <c r="J20" s="7" t="s">
        <v>546</v>
      </c>
      <c r="K20" s="8">
        <v>42947</v>
      </c>
      <c r="L20" s="67">
        <v>38978</v>
      </c>
      <c r="M20" s="8">
        <v>43083</v>
      </c>
      <c r="N20" s="5"/>
      <c r="O20" s="5" t="s">
        <v>547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13">
      <c r="A21" s="5" t="s">
        <v>548</v>
      </c>
      <c r="B21" s="6">
        <v>8707138958</v>
      </c>
      <c r="C21" s="5"/>
      <c r="D21" s="5" t="s">
        <v>549</v>
      </c>
      <c r="E21" s="5"/>
      <c r="F21" s="5"/>
      <c r="G21" s="5" t="s">
        <v>18</v>
      </c>
      <c r="H21" s="5" t="s">
        <v>19</v>
      </c>
      <c r="I21" s="5"/>
      <c r="J21" s="7" t="s">
        <v>550</v>
      </c>
      <c r="K21" s="8">
        <v>42947</v>
      </c>
      <c r="L21" s="67">
        <v>38978</v>
      </c>
      <c r="M21" s="8">
        <v>45406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13">
      <c r="A22" s="5" t="s">
        <v>548</v>
      </c>
      <c r="B22" s="6">
        <v>28744348718</v>
      </c>
      <c r="C22" s="5" t="s">
        <v>551</v>
      </c>
      <c r="D22" s="5" t="s">
        <v>552</v>
      </c>
      <c r="E22" s="5"/>
      <c r="F22" s="5"/>
      <c r="G22" s="5" t="s">
        <v>18</v>
      </c>
      <c r="H22" s="5" t="s">
        <v>19</v>
      </c>
      <c r="I22" s="5"/>
      <c r="J22" s="7" t="s">
        <v>553</v>
      </c>
      <c r="K22" s="5"/>
      <c r="L22" s="67">
        <v>38978</v>
      </c>
      <c r="M22" s="8">
        <v>45406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3">
      <c r="A23" s="5" t="s">
        <v>548</v>
      </c>
      <c r="B23" s="6">
        <v>36888102974</v>
      </c>
      <c r="C23" s="5" t="s">
        <v>554</v>
      </c>
      <c r="D23" s="5" t="s">
        <v>555</v>
      </c>
      <c r="E23" s="5"/>
      <c r="F23" s="5"/>
      <c r="G23" s="5" t="s">
        <v>18</v>
      </c>
      <c r="H23" s="5" t="s">
        <v>19</v>
      </c>
      <c r="I23" s="5"/>
      <c r="J23" s="7" t="s">
        <v>556</v>
      </c>
      <c r="K23" s="5"/>
      <c r="L23" s="67">
        <v>38978</v>
      </c>
      <c r="M23" s="8">
        <v>45406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3">
      <c r="A24" s="5" t="s">
        <v>548</v>
      </c>
      <c r="B24" s="6">
        <v>24430024334</v>
      </c>
      <c r="C24" s="5"/>
      <c r="D24" s="5" t="s">
        <v>557</v>
      </c>
      <c r="E24" s="5"/>
      <c r="F24" s="5"/>
      <c r="G24" s="5" t="s">
        <v>18</v>
      </c>
      <c r="H24" s="5" t="s">
        <v>19</v>
      </c>
      <c r="I24" s="5"/>
      <c r="J24" s="7" t="s">
        <v>558</v>
      </c>
      <c r="K24" s="8">
        <v>42947</v>
      </c>
      <c r="L24" s="67">
        <v>38978</v>
      </c>
      <c r="M24" s="8">
        <v>45406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13">
      <c r="A25" s="5" t="s">
        <v>548</v>
      </c>
      <c r="B25" s="6">
        <v>2541268622</v>
      </c>
      <c r="C25" s="5"/>
      <c r="D25" s="5" t="s">
        <v>477</v>
      </c>
      <c r="E25" s="5"/>
      <c r="F25" s="5"/>
      <c r="G25" s="5" t="s">
        <v>18</v>
      </c>
      <c r="H25" s="5" t="s">
        <v>19</v>
      </c>
      <c r="I25" s="5"/>
      <c r="J25" s="7" t="s">
        <v>478</v>
      </c>
      <c r="K25" s="8">
        <v>42947</v>
      </c>
      <c r="L25" s="67">
        <v>38978</v>
      </c>
      <c r="M25" s="8">
        <v>45406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>
      <c r="A26" s="5" t="s">
        <v>548</v>
      </c>
      <c r="B26" s="6">
        <v>11025043022</v>
      </c>
      <c r="C26" s="5"/>
      <c r="D26" s="5" t="s">
        <v>497</v>
      </c>
      <c r="E26" s="5"/>
      <c r="F26" s="5"/>
      <c r="G26" s="5" t="s">
        <v>18</v>
      </c>
      <c r="H26" s="5" t="s">
        <v>74</v>
      </c>
      <c r="I26" s="5"/>
      <c r="J26" s="9" t="s">
        <v>498</v>
      </c>
      <c r="K26" s="8">
        <v>43320</v>
      </c>
      <c r="L26" s="67">
        <v>38978</v>
      </c>
      <c r="M26" s="8">
        <v>45406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3">
      <c r="A27" s="5" t="s">
        <v>548</v>
      </c>
      <c r="B27" s="6">
        <v>35191276094</v>
      </c>
      <c r="C27" s="5"/>
      <c r="D27" s="5" t="s">
        <v>484</v>
      </c>
      <c r="E27" s="5"/>
      <c r="F27" s="5"/>
      <c r="G27" s="5" t="s">
        <v>18</v>
      </c>
      <c r="H27" s="5" t="s">
        <v>19</v>
      </c>
      <c r="I27" s="5"/>
      <c r="J27" s="7" t="s">
        <v>485</v>
      </c>
      <c r="K27" s="8">
        <v>42948</v>
      </c>
      <c r="L27" s="67">
        <v>38979</v>
      </c>
      <c r="M27" s="8">
        <v>45406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>
      <c r="A28" s="5" t="s">
        <v>548</v>
      </c>
      <c r="B28" s="6">
        <v>41782089278</v>
      </c>
      <c r="C28" s="5"/>
      <c r="D28" s="5" t="s">
        <v>482</v>
      </c>
      <c r="E28" s="5"/>
      <c r="F28" s="5"/>
      <c r="G28" s="5" t="s">
        <v>18</v>
      </c>
      <c r="H28" s="5" t="s">
        <v>19</v>
      </c>
      <c r="I28" s="5"/>
      <c r="J28" s="7" t="s">
        <v>483</v>
      </c>
      <c r="K28" s="8">
        <v>42947</v>
      </c>
      <c r="L28" s="67">
        <v>38978</v>
      </c>
      <c r="M28" s="8">
        <v>45406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>
      <c r="A29" s="70" t="s">
        <v>426</v>
      </c>
      <c r="B29" s="71">
        <v>41499995726</v>
      </c>
      <c r="C29" s="70"/>
      <c r="D29" s="70" t="s">
        <v>559</v>
      </c>
      <c r="E29" s="70"/>
      <c r="F29" s="70"/>
      <c r="G29" s="70" t="s">
        <v>18</v>
      </c>
      <c r="H29" s="70" t="s">
        <v>74</v>
      </c>
      <c r="I29" s="70"/>
      <c r="J29" s="72" t="s">
        <v>560</v>
      </c>
      <c r="K29" s="73">
        <v>43320</v>
      </c>
      <c r="L29" s="74">
        <v>38978</v>
      </c>
      <c r="M29" s="75">
        <v>43390</v>
      </c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</row>
    <row r="30" spans="1:30" ht="13">
      <c r="A30" s="70" t="s">
        <v>426</v>
      </c>
      <c r="B30" s="71">
        <v>160678333382</v>
      </c>
      <c r="C30" s="70"/>
      <c r="D30" s="70" t="s">
        <v>561</v>
      </c>
      <c r="E30" s="70"/>
      <c r="F30" s="70"/>
      <c r="G30" s="70" t="s">
        <v>18</v>
      </c>
      <c r="H30" s="70"/>
      <c r="I30" s="70"/>
      <c r="J30" s="77" t="s">
        <v>562</v>
      </c>
      <c r="K30" s="73">
        <v>43296</v>
      </c>
      <c r="L30" s="74">
        <v>38978</v>
      </c>
      <c r="M30" s="73">
        <v>43305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</row>
    <row r="31" spans="1:30" ht="13">
      <c r="A31" s="70" t="s">
        <v>426</v>
      </c>
      <c r="B31" s="71">
        <v>36827636798</v>
      </c>
      <c r="C31" s="70"/>
      <c r="D31" s="70" t="s">
        <v>563</v>
      </c>
      <c r="E31" s="70"/>
      <c r="F31" s="70"/>
      <c r="G31" s="70" t="s">
        <v>18</v>
      </c>
      <c r="H31" s="70" t="s">
        <v>19</v>
      </c>
      <c r="I31" s="70"/>
      <c r="J31" s="77" t="s">
        <v>564</v>
      </c>
      <c r="K31" s="70"/>
      <c r="L31" s="74">
        <v>38978</v>
      </c>
      <c r="M31" s="73">
        <v>43081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</row>
    <row r="32" spans="1:30" ht="13">
      <c r="A32" s="70" t="s">
        <v>426</v>
      </c>
      <c r="B32" s="71">
        <v>36948569150</v>
      </c>
      <c r="C32" s="70"/>
      <c r="D32" s="70" t="s">
        <v>565</v>
      </c>
      <c r="E32" s="70"/>
      <c r="F32" s="70"/>
      <c r="G32" s="70" t="s">
        <v>18</v>
      </c>
      <c r="H32" s="70" t="s">
        <v>19</v>
      </c>
      <c r="I32" s="78"/>
      <c r="J32" s="77" t="s">
        <v>566</v>
      </c>
      <c r="K32" s="70"/>
      <c r="L32" s="74">
        <v>38978</v>
      </c>
      <c r="M32" s="73">
        <v>43081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</row>
    <row r="33" spans="1:30" ht="13">
      <c r="A33" s="29" t="s">
        <v>548</v>
      </c>
      <c r="B33" s="30" t="s">
        <v>567</v>
      </c>
      <c r="C33" s="29"/>
      <c r="D33" s="29" t="s">
        <v>568</v>
      </c>
      <c r="E33" s="29"/>
      <c r="F33" s="29"/>
      <c r="G33" s="29" t="s">
        <v>261</v>
      </c>
      <c r="H33" s="29"/>
      <c r="I33" s="29" t="s">
        <v>20</v>
      </c>
      <c r="J33" s="31" t="s">
        <v>569</v>
      </c>
      <c r="K33" s="35">
        <v>43208</v>
      </c>
      <c r="L33" s="33"/>
      <c r="M33" s="34">
        <v>43867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13">
      <c r="A34" s="79" t="s">
        <v>548</v>
      </c>
      <c r="B34" s="80" t="s">
        <v>570</v>
      </c>
      <c r="C34" s="79"/>
      <c r="D34" s="79" t="s">
        <v>571</v>
      </c>
      <c r="E34" s="79"/>
      <c r="F34" s="79"/>
      <c r="G34" s="79" t="s">
        <v>572</v>
      </c>
      <c r="H34" s="79"/>
      <c r="I34" s="79" t="s">
        <v>573</v>
      </c>
      <c r="J34" s="81" t="s">
        <v>574</v>
      </c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</row>
    <row r="35" spans="1:30" ht="13">
      <c r="A35" s="79" t="s">
        <v>548</v>
      </c>
      <c r="B35" s="80" t="s">
        <v>575</v>
      </c>
      <c r="C35" s="79"/>
      <c r="D35" s="79" t="s">
        <v>576</v>
      </c>
      <c r="E35" s="79"/>
      <c r="F35" s="79"/>
      <c r="G35" s="79" t="s">
        <v>572</v>
      </c>
      <c r="H35" s="79"/>
      <c r="I35" s="79" t="s">
        <v>573</v>
      </c>
      <c r="J35" s="81" t="s">
        <v>577</v>
      </c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</row>
    <row r="36" spans="1:30" ht="13">
      <c r="A36" s="79" t="s">
        <v>548</v>
      </c>
      <c r="B36" s="80" t="s">
        <v>578</v>
      </c>
      <c r="C36" s="79"/>
      <c r="D36" s="79" t="s">
        <v>579</v>
      </c>
      <c r="E36" s="79"/>
      <c r="F36" s="79"/>
      <c r="G36" s="79" t="s">
        <v>572</v>
      </c>
      <c r="H36" s="79"/>
      <c r="I36" s="79" t="s">
        <v>573</v>
      </c>
      <c r="J36" s="81" t="s">
        <v>580</v>
      </c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</row>
    <row r="37" spans="1:30" ht="13">
      <c r="A37" s="79" t="s">
        <v>548</v>
      </c>
      <c r="B37" s="80" t="s">
        <v>581</v>
      </c>
      <c r="C37" s="79"/>
      <c r="D37" s="79" t="s">
        <v>582</v>
      </c>
      <c r="E37" s="79"/>
      <c r="F37" s="79"/>
      <c r="G37" s="79" t="s">
        <v>572</v>
      </c>
      <c r="H37" s="79"/>
      <c r="I37" s="79" t="s">
        <v>573</v>
      </c>
      <c r="J37" s="81" t="s">
        <v>583</v>
      </c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</row>
    <row r="38" spans="1:30" ht="13">
      <c r="A38" s="79" t="s">
        <v>548</v>
      </c>
      <c r="B38" s="80" t="s">
        <v>584</v>
      </c>
      <c r="C38" s="79"/>
      <c r="D38" s="79" t="s">
        <v>585</v>
      </c>
      <c r="E38" s="79"/>
      <c r="F38" s="79"/>
      <c r="G38" s="79" t="s">
        <v>572</v>
      </c>
      <c r="H38" s="79"/>
      <c r="I38" s="79" t="s">
        <v>573</v>
      </c>
      <c r="J38" s="81" t="s">
        <v>586</v>
      </c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</row>
    <row r="39" spans="1:30" ht="13">
      <c r="A39" s="79" t="s">
        <v>548</v>
      </c>
      <c r="B39" s="80" t="s">
        <v>587</v>
      </c>
      <c r="C39" s="79"/>
      <c r="D39" s="79" t="s">
        <v>588</v>
      </c>
      <c r="E39" s="79"/>
      <c r="F39" s="79"/>
      <c r="G39" s="79" t="s">
        <v>572</v>
      </c>
      <c r="H39" s="79"/>
      <c r="I39" s="79" t="s">
        <v>573</v>
      </c>
      <c r="J39" s="81" t="s">
        <v>589</v>
      </c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</row>
    <row r="40" spans="1:30" ht="13">
      <c r="A40" s="82" t="s">
        <v>426</v>
      </c>
      <c r="B40" s="71" t="s">
        <v>590</v>
      </c>
      <c r="C40" s="82"/>
      <c r="D40" s="82" t="s">
        <v>591</v>
      </c>
      <c r="E40" s="82"/>
      <c r="F40" s="82"/>
      <c r="G40" s="82" t="s">
        <v>592</v>
      </c>
      <c r="H40" s="82"/>
      <c r="I40" s="82" t="s">
        <v>593</v>
      </c>
      <c r="J40" s="83" t="s">
        <v>594</v>
      </c>
      <c r="K40" s="70"/>
      <c r="L40" s="70"/>
      <c r="M40" s="73">
        <v>43390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</row>
    <row r="41" spans="1:30" ht="13">
      <c r="A41" s="82" t="s">
        <v>426</v>
      </c>
      <c r="B41" s="71" t="s">
        <v>595</v>
      </c>
      <c r="C41" s="82"/>
      <c r="D41" s="82" t="s">
        <v>596</v>
      </c>
      <c r="E41" s="82"/>
      <c r="F41" s="82"/>
      <c r="G41" s="82" t="s">
        <v>592</v>
      </c>
      <c r="H41" s="82" t="s">
        <v>597</v>
      </c>
      <c r="I41" s="82" t="s">
        <v>598</v>
      </c>
      <c r="J41" s="83" t="s">
        <v>599</v>
      </c>
      <c r="K41" s="84">
        <v>43208</v>
      </c>
      <c r="L41" s="70"/>
      <c r="M41" s="73">
        <v>43867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</row>
    <row r="42" spans="1:30" ht="13">
      <c r="A42" s="82" t="s">
        <v>426</v>
      </c>
      <c r="B42" s="71" t="s">
        <v>600</v>
      </c>
      <c r="C42" s="82"/>
      <c r="D42" s="82" t="s">
        <v>601</v>
      </c>
      <c r="E42" s="82"/>
      <c r="F42" s="82"/>
      <c r="G42" s="82" t="s">
        <v>592</v>
      </c>
      <c r="H42" s="82" t="s">
        <v>602</v>
      </c>
      <c r="I42" s="82" t="s">
        <v>603</v>
      </c>
      <c r="J42" s="83" t="s">
        <v>604</v>
      </c>
      <c r="K42" s="84">
        <v>43208</v>
      </c>
      <c r="L42" s="70"/>
      <c r="M42" s="73">
        <v>43391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</row>
    <row r="43" spans="1:30" ht="13">
      <c r="A43" s="82" t="s">
        <v>426</v>
      </c>
      <c r="B43" s="71" t="s">
        <v>605</v>
      </c>
      <c r="C43" s="82"/>
      <c r="D43" s="82" t="s">
        <v>606</v>
      </c>
      <c r="E43" s="82"/>
      <c r="F43" s="82"/>
      <c r="G43" s="82" t="s">
        <v>592</v>
      </c>
      <c r="H43" s="82" t="s">
        <v>607</v>
      </c>
      <c r="I43" s="82"/>
      <c r="J43" s="83" t="s">
        <v>608</v>
      </c>
      <c r="K43" s="84"/>
      <c r="L43" s="70"/>
      <c r="M43" s="73">
        <v>43867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</row>
    <row r="44" spans="1:30" ht="13">
      <c r="A44" s="82" t="s">
        <v>426</v>
      </c>
      <c r="B44" s="71" t="s">
        <v>609</v>
      </c>
      <c r="C44" s="82"/>
      <c r="D44" s="82" t="s">
        <v>610</v>
      </c>
      <c r="E44" s="82"/>
      <c r="F44" s="82"/>
      <c r="G44" s="82" t="s">
        <v>592</v>
      </c>
      <c r="H44" s="82"/>
      <c r="I44" s="82"/>
      <c r="J44" s="83" t="s">
        <v>611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</row>
    <row r="45" spans="1:30" ht="13">
      <c r="A45" s="82" t="s">
        <v>426</v>
      </c>
      <c r="B45" s="71" t="s">
        <v>612</v>
      </c>
      <c r="C45" s="82"/>
      <c r="D45" s="82" t="s">
        <v>613</v>
      </c>
      <c r="E45" s="82"/>
      <c r="F45" s="82"/>
      <c r="G45" s="82" t="s">
        <v>592</v>
      </c>
      <c r="H45" s="82" t="s">
        <v>614</v>
      </c>
      <c r="I45" s="82"/>
      <c r="J45" s="83" t="s">
        <v>615</v>
      </c>
      <c r="K45" s="84">
        <v>43208</v>
      </c>
      <c r="L45" s="70"/>
      <c r="M45" s="73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</row>
    <row r="46" spans="1:30" ht="13">
      <c r="A46" s="85" t="s">
        <v>426</v>
      </c>
      <c r="B46" s="86" t="s">
        <v>616</v>
      </c>
      <c r="C46" s="85"/>
      <c r="D46" s="85" t="s">
        <v>617</v>
      </c>
      <c r="E46" s="85"/>
      <c r="F46" s="85"/>
      <c r="G46" s="85" t="s">
        <v>618</v>
      </c>
      <c r="H46" s="85"/>
      <c r="I46" s="85" t="s">
        <v>251</v>
      </c>
      <c r="J46" s="87" t="s">
        <v>619</v>
      </c>
      <c r="K46" s="88"/>
      <c r="L46" s="89">
        <v>38978</v>
      </c>
      <c r="M46" s="90">
        <v>43867</v>
      </c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spans="1:30" ht="13">
      <c r="A47" s="85" t="s">
        <v>426</v>
      </c>
      <c r="B47" s="86" t="s">
        <v>620</v>
      </c>
      <c r="C47" s="85"/>
      <c r="D47" s="85" t="s">
        <v>621</v>
      </c>
      <c r="E47" s="85"/>
      <c r="F47" s="85"/>
      <c r="G47" s="85" t="s">
        <v>618</v>
      </c>
      <c r="H47" s="85"/>
      <c r="I47" s="85" t="s">
        <v>251</v>
      </c>
      <c r="J47" s="87" t="s">
        <v>622</v>
      </c>
      <c r="K47" s="88"/>
      <c r="L47" s="89">
        <v>38978</v>
      </c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1:30" ht="13">
      <c r="A48" s="85" t="s">
        <v>426</v>
      </c>
      <c r="B48" s="86" t="s">
        <v>623</v>
      </c>
      <c r="C48" s="85"/>
      <c r="D48" s="85" t="s">
        <v>624</v>
      </c>
      <c r="E48" s="85"/>
      <c r="F48" s="85"/>
      <c r="G48" s="85" t="s">
        <v>618</v>
      </c>
      <c r="H48" s="85"/>
      <c r="I48" s="85" t="s">
        <v>251</v>
      </c>
      <c r="J48" s="87" t="s">
        <v>625</v>
      </c>
      <c r="K48" s="88"/>
      <c r="L48" s="89">
        <v>38978</v>
      </c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spans="1:30" ht="13">
      <c r="A49" s="85" t="s">
        <v>426</v>
      </c>
      <c r="B49" s="86" t="s">
        <v>626</v>
      </c>
      <c r="C49" s="85"/>
      <c r="D49" s="85" t="s">
        <v>627</v>
      </c>
      <c r="E49" s="85"/>
      <c r="F49" s="85"/>
      <c r="G49" s="85" t="s">
        <v>618</v>
      </c>
      <c r="H49" s="85"/>
      <c r="I49" s="85" t="s">
        <v>251</v>
      </c>
      <c r="J49" s="87" t="s">
        <v>628</v>
      </c>
      <c r="K49" s="88"/>
      <c r="L49" s="89">
        <v>38978</v>
      </c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spans="1:30" ht="13">
      <c r="A50" s="85" t="s">
        <v>426</v>
      </c>
      <c r="B50" s="86" t="s">
        <v>629</v>
      </c>
      <c r="C50" s="85"/>
      <c r="D50" s="85" t="s">
        <v>630</v>
      </c>
      <c r="E50" s="85"/>
      <c r="F50" s="85"/>
      <c r="G50" s="85" t="s">
        <v>618</v>
      </c>
      <c r="H50" s="85"/>
      <c r="I50" s="85" t="s">
        <v>251</v>
      </c>
      <c r="J50" s="87" t="s">
        <v>631</v>
      </c>
      <c r="K50" s="88"/>
      <c r="L50" s="89">
        <v>38978</v>
      </c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spans="1:30" ht="13">
      <c r="A51" s="85" t="s">
        <v>426</v>
      </c>
      <c r="B51" s="86" t="s">
        <v>632</v>
      </c>
      <c r="C51" s="85"/>
      <c r="D51" s="85" t="s">
        <v>633</v>
      </c>
      <c r="E51" s="85"/>
      <c r="F51" s="85"/>
      <c r="G51" s="85" t="s">
        <v>618</v>
      </c>
      <c r="H51" s="85"/>
      <c r="I51" s="85" t="s">
        <v>251</v>
      </c>
      <c r="J51" s="87" t="s">
        <v>634</v>
      </c>
      <c r="K51" s="88"/>
      <c r="L51" s="89">
        <v>38978</v>
      </c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spans="1:30" ht="13">
      <c r="A52" s="85" t="s">
        <v>426</v>
      </c>
      <c r="B52" s="86" t="s">
        <v>635</v>
      </c>
      <c r="C52" s="85"/>
      <c r="D52" s="85" t="s">
        <v>636</v>
      </c>
      <c r="E52" s="85"/>
      <c r="F52" s="85"/>
      <c r="G52" s="85" t="s">
        <v>618</v>
      </c>
      <c r="H52" s="85" t="s">
        <v>637</v>
      </c>
      <c r="I52" s="85" t="s">
        <v>251</v>
      </c>
      <c r="J52" s="87" t="s">
        <v>638</v>
      </c>
      <c r="K52" s="88"/>
      <c r="L52" s="89">
        <v>38978</v>
      </c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 spans="1:30" ht="13">
      <c r="A53" s="85" t="s">
        <v>426</v>
      </c>
      <c r="B53" s="86" t="s">
        <v>639</v>
      </c>
      <c r="C53" s="85"/>
      <c r="D53" s="85" t="s">
        <v>640</v>
      </c>
      <c r="E53" s="85"/>
      <c r="F53" s="85"/>
      <c r="G53" s="85" t="s">
        <v>618</v>
      </c>
      <c r="H53" s="85"/>
      <c r="I53" s="85" t="s">
        <v>251</v>
      </c>
      <c r="J53" s="87" t="s">
        <v>641</v>
      </c>
      <c r="K53" s="88"/>
      <c r="L53" s="89">
        <v>38978</v>
      </c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 spans="1:30" ht="13">
      <c r="A54" s="85" t="s">
        <v>426</v>
      </c>
      <c r="B54" s="86" t="s">
        <v>642</v>
      </c>
      <c r="C54" s="85"/>
      <c r="D54" s="85" t="s">
        <v>643</v>
      </c>
      <c r="E54" s="85"/>
      <c r="F54" s="85"/>
      <c r="G54" s="85" t="s">
        <v>618</v>
      </c>
      <c r="H54" s="85"/>
      <c r="I54" s="85" t="s">
        <v>251</v>
      </c>
      <c r="J54" s="87" t="s">
        <v>644</v>
      </c>
      <c r="K54" s="88"/>
      <c r="L54" s="89">
        <v>38978</v>
      </c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spans="1:30" ht="13">
      <c r="A55" s="85" t="s">
        <v>426</v>
      </c>
      <c r="B55" s="86" t="s">
        <v>645</v>
      </c>
      <c r="C55" s="85"/>
      <c r="D55" s="85" t="s">
        <v>646</v>
      </c>
      <c r="E55" s="85"/>
      <c r="F55" s="85"/>
      <c r="G55" s="85" t="s">
        <v>618</v>
      </c>
      <c r="H55" s="85"/>
      <c r="I55" s="85" t="s">
        <v>251</v>
      </c>
      <c r="J55" s="87" t="s">
        <v>647</v>
      </c>
      <c r="K55" s="88"/>
      <c r="L55" s="89">
        <v>38978</v>
      </c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spans="1:30" ht="13">
      <c r="A56" s="85" t="s">
        <v>426</v>
      </c>
      <c r="B56" s="86" t="s">
        <v>648</v>
      </c>
      <c r="C56" s="85"/>
      <c r="D56" s="85" t="s">
        <v>649</v>
      </c>
      <c r="E56" s="85"/>
      <c r="F56" s="85"/>
      <c r="G56" s="85" t="s">
        <v>618</v>
      </c>
      <c r="H56" s="85"/>
      <c r="I56" s="85" t="s">
        <v>251</v>
      </c>
      <c r="J56" s="87" t="s">
        <v>650</v>
      </c>
      <c r="K56" s="88"/>
      <c r="L56" s="89">
        <v>38978</v>
      </c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spans="1:30" ht="13">
      <c r="A57" s="85" t="s">
        <v>426</v>
      </c>
      <c r="B57" s="86" t="s">
        <v>651</v>
      </c>
      <c r="C57" s="85"/>
      <c r="D57" s="85" t="s">
        <v>652</v>
      </c>
      <c r="E57" s="85"/>
      <c r="F57" s="85"/>
      <c r="G57" s="85" t="s">
        <v>618</v>
      </c>
      <c r="H57" s="85"/>
      <c r="I57" s="85" t="s">
        <v>251</v>
      </c>
      <c r="J57" s="87" t="s">
        <v>653</v>
      </c>
      <c r="K57" s="88"/>
      <c r="L57" s="89">
        <v>38978</v>
      </c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spans="1:30" ht="6.75" customHeight="1">
      <c r="A58" s="85" t="s">
        <v>426</v>
      </c>
      <c r="B58" s="86" t="s">
        <v>654</v>
      </c>
      <c r="C58" s="85"/>
      <c r="D58" s="85" t="s">
        <v>655</v>
      </c>
      <c r="E58" s="85"/>
      <c r="F58" s="85"/>
      <c r="G58" s="85" t="s">
        <v>618</v>
      </c>
      <c r="H58" s="85"/>
      <c r="I58" s="85" t="s">
        <v>251</v>
      </c>
      <c r="J58" s="87" t="s">
        <v>656</v>
      </c>
      <c r="K58" s="88"/>
      <c r="L58" s="89">
        <v>38978</v>
      </c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spans="1:30" ht="18.75" customHeight="1">
      <c r="A59" s="85" t="s">
        <v>426</v>
      </c>
      <c r="B59" s="86" t="s">
        <v>657</v>
      </c>
      <c r="C59" s="85"/>
      <c r="D59" s="85" t="s">
        <v>658</v>
      </c>
      <c r="E59" s="85"/>
      <c r="F59" s="85"/>
      <c r="G59" s="85" t="s">
        <v>618</v>
      </c>
      <c r="H59" s="85"/>
      <c r="I59" s="85" t="s">
        <v>251</v>
      </c>
      <c r="J59" s="87" t="s">
        <v>659</v>
      </c>
      <c r="K59" s="88"/>
      <c r="L59" s="89">
        <v>38978</v>
      </c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spans="1:30" ht="18.75" customHeight="1">
      <c r="A60" s="85" t="s">
        <v>426</v>
      </c>
      <c r="B60" s="86" t="s">
        <v>660</v>
      </c>
      <c r="C60" s="85"/>
      <c r="D60" s="85" t="s">
        <v>661</v>
      </c>
      <c r="E60" s="85"/>
      <c r="F60" s="85"/>
      <c r="G60" s="85" t="s">
        <v>618</v>
      </c>
      <c r="H60" s="85"/>
      <c r="I60" s="85" t="s">
        <v>251</v>
      </c>
      <c r="J60" s="87" t="s">
        <v>662</v>
      </c>
      <c r="K60" s="88"/>
      <c r="L60" s="89">
        <v>38978</v>
      </c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spans="1:30" ht="19.5" customHeight="1">
      <c r="A61" s="85" t="s">
        <v>426</v>
      </c>
      <c r="B61" s="86" t="s">
        <v>663</v>
      </c>
      <c r="C61" s="85"/>
      <c r="D61" s="85" t="s">
        <v>664</v>
      </c>
      <c r="E61" s="85"/>
      <c r="F61" s="85"/>
      <c r="G61" s="85" t="s">
        <v>618</v>
      </c>
      <c r="H61" s="85"/>
      <c r="I61" s="85" t="s">
        <v>251</v>
      </c>
      <c r="J61" s="87" t="s">
        <v>665</v>
      </c>
      <c r="K61" s="88"/>
      <c r="L61" s="89">
        <v>38978</v>
      </c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spans="1:30" ht="19.5" customHeight="1">
      <c r="A62" s="85" t="s">
        <v>426</v>
      </c>
      <c r="B62" s="86" t="s">
        <v>666</v>
      </c>
      <c r="C62" s="85"/>
      <c r="D62" s="85" t="s">
        <v>667</v>
      </c>
      <c r="E62" s="85"/>
      <c r="F62" s="85"/>
      <c r="G62" s="85" t="s">
        <v>618</v>
      </c>
      <c r="H62" s="85"/>
      <c r="I62" s="85" t="s">
        <v>251</v>
      </c>
      <c r="J62" s="87" t="s">
        <v>668</v>
      </c>
      <c r="K62" s="88"/>
      <c r="L62" s="89">
        <v>38978</v>
      </c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spans="1:30" ht="19.5" customHeight="1">
      <c r="A63" s="85" t="s">
        <v>426</v>
      </c>
      <c r="B63" s="86" t="s">
        <v>669</v>
      </c>
      <c r="C63" s="85"/>
      <c r="D63" s="85" t="s">
        <v>670</v>
      </c>
      <c r="E63" s="85"/>
      <c r="F63" s="85"/>
      <c r="G63" s="85" t="s">
        <v>618</v>
      </c>
      <c r="H63" s="85"/>
      <c r="I63" s="85" t="s">
        <v>20</v>
      </c>
      <c r="J63" s="87" t="s">
        <v>671</v>
      </c>
      <c r="K63" s="88"/>
      <c r="L63" s="89">
        <v>38978</v>
      </c>
      <c r="M63" s="90">
        <v>43867</v>
      </c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spans="1:30" ht="19.5" customHeight="1">
      <c r="A64" s="85" t="s">
        <v>426</v>
      </c>
      <c r="B64" s="86" t="s">
        <v>672</v>
      </c>
      <c r="C64" s="85"/>
      <c r="D64" s="85" t="s">
        <v>673</v>
      </c>
      <c r="E64" s="85"/>
      <c r="F64" s="85"/>
      <c r="G64" s="85" t="s">
        <v>618</v>
      </c>
      <c r="H64" s="85" t="s">
        <v>674</v>
      </c>
      <c r="I64" s="85"/>
      <c r="J64" s="87" t="s">
        <v>675</v>
      </c>
      <c r="K64" s="90">
        <v>43407</v>
      </c>
      <c r="L64" s="89"/>
      <c r="M64" s="89">
        <v>45406</v>
      </c>
      <c r="N64" s="88" t="s">
        <v>676</v>
      </c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spans="1:30" ht="19.5" customHeight="1">
      <c r="A65" s="91" t="s">
        <v>426</v>
      </c>
      <c r="B65" s="92" t="s">
        <v>677</v>
      </c>
      <c r="C65" s="91"/>
      <c r="D65" s="91" t="s">
        <v>678</v>
      </c>
      <c r="E65" s="91"/>
      <c r="F65" s="91"/>
      <c r="G65" s="91" t="s">
        <v>679</v>
      </c>
      <c r="H65" s="91" t="s">
        <v>19</v>
      </c>
      <c r="I65" s="91" t="s">
        <v>251</v>
      </c>
      <c r="J65" s="93" t="s">
        <v>680</v>
      </c>
      <c r="K65" s="94">
        <v>43076</v>
      </c>
      <c r="L65" s="94">
        <v>43083</v>
      </c>
      <c r="M65" s="94">
        <v>43878</v>
      </c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</row>
    <row r="66" spans="1:30" ht="9" customHeight="1">
      <c r="A66" s="91" t="s">
        <v>426</v>
      </c>
      <c r="B66" s="92" t="s">
        <v>681</v>
      </c>
      <c r="C66" s="91"/>
      <c r="D66" s="91" t="s">
        <v>682</v>
      </c>
      <c r="E66" s="91"/>
      <c r="F66" s="91"/>
      <c r="G66" s="91" t="s">
        <v>679</v>
      </c>
      <c r="H66" s="91" t="s">
        <v>19</v>
      </c>
      <c r="I66" s="91" t="s">
        <v>251</v>
      </c>
      <c r="J66" s="93" t="s">
        <v>683</v>
      </c>
      <c r="K66" s="94">
        <v>43076</v>
      </c>
      <c r="L66" s="94">
        <v>43083</v>
      </c>
      <c r="M66" s="94">
        <v>43878</v>
      </c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</row>
    <row r="67" spans="1:30" ht="13">
      <c r="A67" s="95" t="s">
        <v>426</v>
      </c>
      <c r="B67" s="96" t="s">
        <v>684</v>
      </c>
      <c r="C67" s="95"/>
      <c r="D67" s="95" t="s">
        <v>685</v>
      </c>
      <c r="E67" s="95"/>
      <c r="F67" s="95"/>
      <c r="G67" s="95" t="s">
        <v>686</v>
      </c>
      <c r="H67" s="95"/>
      <c r="I67" s="95" t="s">
        <v>20</v>
      </c>
      <c r="J67" s="95"/>
      <c r="K67" s="95"/>
      <c r="L67" s="95"/>
      <c r="M67" s="97">
        <v>43878</v>
      </c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 spans="1:30" ht="13">
      <c r="A68" s="14" t="s">
        <v>548</v>
      </c>
      <c r="B68" s="15" t="s">
        <v>504</v>
      </c>
      <c r="C68" s="14"/>
      <c r="D68" s="14" t="s">
        <v>522</v>
      </c>
      <c r="E68" s="14"/>
      <c r="F68" s="14"/>
      <c r="G68" s="14" t="s">
        <v>133</v>
      </c>
      <c r="H68" s="14"/>
      <c r="I68" s="14"/>
      <c r="J68" s="16" t="s">
        <v>134</v>
      </c>
      <c r="K68" s="17">
        <v>44754</v>
      </c>
      <c r="L68" s="14" t="s">
        <v>135</v>
      </c>
      <c r="M68" s="14"/>
      <c r="N68" s="14" t="s">
        <v>136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1:30" ht="13">
      <c r="A69" s="14" t="s">
        <v>548</v>
      </c>
      <c r="B69" s="15" t="s">
        <v>505</v>
      </c>
      <c r="C69" s="14"/>
      <c r="D69" s="14" t="s">
        <v>523</v>
      </c>
      <c r="E69" s="14"/>
      <c r="F69" s="14"/>
      <c r="G69" s="14" t="s">
        <v>133</v>
      </c>
      <c r="H69" s="14"/>
      <c r="I69" s="14"/>
      <c r="J69" s="16" t="s">
        <v>134</v>
      </c>
      <c r="K69" s="17">
        <v>44754</v>
      </c>
      <c r="L69" s="14" t="s">
        <v>135</v>
      </c>
      <c r="M69" s="14"/>
      <c r="N69" s="14" t="s">
        <v>136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1:30" ht="13">
      <c r="A70" s="14" t="s">
        <v>548</v>
      </c>
      <c r="B70" s="15" t="s">
        <v>524</v>
      </c>
      <c r="C70" s="14"/>
      <c r="D70" s="14" t="s">
        <v>521</v>
      </c>
      <c r="E70" s="14"/>
      <c r="F70" s="14"/>
      <c r="G70" s="14" t="s">
        <v>133</v>
      </c>
      <c r="H70" s="14"/>
      <c r="I70" s="14"/>
      <c r="J70" s="16" t="s">
        <v>134</v>
      </c>
      <c r="K70" s="17">
        <v>44754</v>
      </c>
      <c r="L70" s="14" t="s">
        <v>135</v>
      </c>
      <c r="M70" s="14"/>
      <c r="N70" s="14" t="s">
        <v>136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</sheetData>
  <hyperlinks>
    <hyperlink ref="J2" r:id="rId1" xr:uid="{00000000-0004-0000-0700-000000000000}"/>
    <hyperlink ref="J3" r:id="rId2" xr:uid="{00000000-0004-0000-0700-000001000000}"/>
    <hyperlink ref="J4" r:id="rId3" xr:uid="{00000000-0004-0000-0700-000002000000}"/>
    <hyperlink ref="J5" r:id="rId4" xr:uid="{00000000-0004-0000-0700-000003000000}"/>
    <hyperlink ref="J6" r:id="rId5" xr:uid="{00000000-0004-0000-0700-000004000000}"/>
    <hyperlink ref="J7" r:id="rId6" xr:uid="{00000000-0004-0000-0700-000005000000}"/>
    <hyperlink ref="J8" r:id="rId7" xr:uid="{00000000-0004-0000-0700-000006000000}"/>
    <hyperlink ref="J9" r:id="rId8" xr:uid="{00000000-0004-0000-0700-000007000000}"/>
    <hyperlink ref="J10" r:id="rId9" xr:uid="{00000000-0004-0000-0700-000008000000}"/>
    <hyperlink ref="J11" r:id="rId10" xr:uid="{00000000-0004-0000-0700-000009000000}"/>
    <hyperlink ref="J12" r:id="rId11" xr:uid="{00000000-0004-0000-0700-00000A000000}"/>
    <hyperlink ref="J13" r:id="rId12" xr:uid="{00000000-0004-0000-0700-00000B000000}"/>
    <hyperlink ref="J14" r:id="rId13" xr:uid="{00000000-0004-0000-0700-00000C000000}"/>
    <hyperlink ref="J15" r:id="rId14" xr:uid="{00000000-0004-0000-0700-00000D000000}"/>
    <hyperlink ref="J16" r:id="rId15" xr:uid="{00000000-0004-0000-0700-00000E000000}"/>
    <hyperlink ref="J17" r:id="rId16" xr:uid="{00000000-0004-0000-0700-00000F000000}"/>
    <hyperlink ref="J18" r:id="rId17" xr:uid="{00000000-0004-0000-0700-000010000000}"/>
    <hyperlink ref="J19" r:id="rId18" xr:uid="{00000000-0004-0000-0700-000011000000}"/>
    <hyperlink ref="J20" r:id="rId19" xr:uid="{00000000-0004-0000-0700-000012000000}"/>
    <hyperlink ref="J21" r:id="rId20" xr:uid="{00000000-0004-0000-0700-000013000000}"/>
    <hyperlink ref="J22" r:id="rId21" xr:uid="{00000000-0004-0000-0700-000014000000}"/>
    <hyperlink ref="J23" r:id="rId22" xr:uid="{00000000-0004-0000-0700-000015000000}"/>
    <hyperlink ref="J24" r:id="rId23" xr:uid="{00000000-0004-0000-0700-000016000000}"/>
    <hyperlink ref="J25" r:id="rId24" xr:uid="{00000000-0004-0000-0700-000017000000}"/>
    <hyperlink ref="J26" r:id="rId25" xr:uid="{00000000-0004-0000-0700-000018000000}"/>
    <hyperlink ref="J27" r:id="rId26" xr:uid="{00000000-0004-0000-0700-000019000000}"/>
    <hyperlink ref="J28" r:id="rId27" xr:uid="{00000000-0004-0000-0700-00001A000000}"/>
    <hyperlink ref="J29" r:id="rId28" xr:uid="{00000000-0004-0000-0700-00001B000000}"/>
    <hyperlink ref="J30" r:id="rId29" xr:uid="{00000000-0004-0000-0700-00001C000000}"/>
    <hyperlink ref="J31" r:id="rId30" xr:uid="{00000000-0004-0000-0700-00001D000000}"/>
    <hyperlink ref="J32" r:id="rId31" xr:uid="{00000000-0004-0000-0700-00001E000000}"/>
    <hyperlink ref="J33" r:id="rId32" xr:uid="{00000000-0004-0000-0700-00001F000000}"/>
    <hyperlink ref="J34" r:id="rId33" xr:uid="{00000000-0004-0000-0700-000020000000}"/>
    <hyperlink ref="J35" r:id="rId34" xr:uid="{00000000-0004-0000-0700-000021000000}"/>
    <hyperlink ref="J36" r:id="rId35" xr:uid="{00000000-0004-0000-0700-000022000000}"/>
    <hyperlink ref="J37" r:id="rId36" xr:uid="{00000000-0004-0000-0700-000023000000}"/>
    <hyperlink ref="J38" r:id="rId37" xr:uid="{00000000-0004-0000-0700-000024000000}"/>
    <hyperlink ref="J39" r:id="rId38" xr:uid="{00000000-0004-0000-0700-000025000000}"/>
    <hyperlink ref="J40" r:id="rId39" xr:uid="{00000000-0004-0000-0700-000026000000}"/>
    <hyperlink ref="J41" r:id="rId40" xr:uid="{00000000-0004-0000-0700-000027000000}"/>
    <hyperlink ref="J42" r:id="rId41" xr:uid="{00000000-0004-0000-0700-000028000000}"/>
    <hyperlink ref="J43" r:id="rId42" xr:uid="{00000000-0004-0000-0700-000029000000}"/>
    <hyperlink ref="J44" r:id="rId43" xr:uid="{00000000-0004-0000-0700-00002A000000}"/>
    <hyperlink ref="J45" r:id="rId44" xr:uid="{00000000-0004-0000-0700-00002B000000}"/>
    <hyperlink ref="J46" r:id="rId45" xr:uid="{00000000-0004-0000-0700-00002C000000}"/>
    <hyperlink ref="J47" r:id="rId46" xr:uid="{00000000-0004-0000-0700-00002D000000}"/>
    <hyperlink ref="J48" r:id="rId47" xr:uid="{00000000-0004-0000-0700-00002E000000}"/>
    <hyperlink ref="J49" r:id="rId48" xr:uid="{00000000-0004-0000-0700-00002F000000}"/>
    <hyperlink ref="J50" r:id="rId49" xr:uid="{00000000-0004-0000-0700-000030000000}"/>
    <hyperlink ref="J51" r:id="rId50" xr:uid="{00000000-0004-0000-0700-000031000000}"/>
    <hyperlink ref="J52" r:id="rId51" xr:uid="{00000000-0004-0000-0700-000032000000}"/>
    <hyperlink ref="J53" r:id="rId52" xr:uid="{00000000-0004-0000-0700-000033000000}"/>
    <hyperlink ref="J54" r:id="rId53" xr:uid="{00000000-0004-0000-0700-000034000000}"/>
    <hyperlink ref="J55" r:id="rId54" xr:uid="{00000000-0004-0000-0700-000035000000}"/>
    <hyperlink ref="J56" r:id="rId55" xr:uid="{00000000-0004-0000-0700-000036000000}"/>
    <hyperlink ref="J57" r:id="rId56" xr:uid="{00000000-0004-0000-0700-000037000000}"/>
    <hyperlink ref="J58" r:id="rId57" xr:uid="{00000000-0004-0000-0700-000038000000}"/>
    <hyperlink ref="J59" r:id="rId58" xr:uid="{00000000-0004-0000-0700-000039000000}"/>
    <hyperlink ref="J60" r:id="rId59" xr:uid="{00000000-0004-0000-0700-00003A000000}"/>
    <hyperlink ref="J61" r:id="rId60" xr:uid="{00000000-0004-0000-0700-00003B000000}"/>
    <hyperlink ref="J62" r:id="rId61" xr:uid="{00000000-0004-0000-0700-00003C000000}"/>
    <hyperlink ref="J63" r:id="rId62" xr:uid="{00000000-0004-0000-0700-00003D000000}"/>
    <hyperlink ref="J64" r:id="rId63" xr:uid="{00000000-0004-0000-0700-00003E000000}"/>
    <hyperlink ref="J65" r:id="rId64" xr:uid="{00000000-0004-0000-0700-00003F000000}"/>
    <hyperlink ref="J66" r:id="rId65" xr:uid="{00000000-0004-0000-0700-000040000000}"/>
    <hyperlink ref="J68" r:id="rId66" xr:uid="{00000000-0004-0000-0700-000041000000}"/>
    <hyperlink ref="J69" r:id="rId67" xr:uid="{00000000-0004-0000-0700-000042000000}"/>
    <hyperlink ref="J70" r:id="rId68" xr:uid="{00000000-0004-0000-07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 OF ASSETS</vt:lpstr>
      <vt:lpstr>Bags</vt:lpstr>
      <vt:lpstr>Names</vt:lpstr>
      <vt:lpstr>host_db</vt:lpstr>
      <vt:lpstr>Loaned</vt:lpstr>
      <vt:lpstr>Macs</vt:lpstr>
      <vt:lpstr>MacBooks</vt:lpstr>
      <vt:lpstr>Scrapped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Busboom</cp:lastModifiedBy>
  <dcterms:modified xsi:type="dcterms:W3CDTF">2026-03-06T20:22:06Z</dcterms:modified>
</cp:coreProperties>
</file>